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03" documentId="11_3DF5C91D106D0CDEE54878D6425DCE3A8746A41B" xr6:coauthVersionLast="47" xr6:coauthVersionMax="47" xr10:uidLastSave="{0B27A7C8-602E-4E98-B13C-7465A76AE39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2" i="1" l="1"/>
  <c r="Y61" i="1"/>
  <c r="Y28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2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9" i="1"/>
  <c r="S62" i="1"/>
  <c r="S61" i="1"/>
  <c r="S28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9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8" i="1"/>
  <c r="L7" i="1"/>
  <c r="L6" i="1"/>
  <c r="L5" i="1"/>
  <c r="L4" i="1"/>
  <c r="L3" i="1"/>
  <c r="M8" i="1"/>
  <c r="M28" i="1" l="1"/>
  <c r="M62" i="1"/>
  <c r="M61" i="1"/>
</calcChain>
</file>

<file path=xl/sharedStrings.xml><?xml version="1.0" encoding="utf-8"?>
<sst xmlns="http://schemas.openxmlformats.org/spreadsheetml/2006/main" count="448" uniqueCount="84">
  <si>
    <t>ano_campeonato</t>
  </si>
  <si>
    <t>campeonato</t>
  </si>
  <si>
    <t>fase</t>
  </si>
  <si>
    <t>data</t>
  </si>
  <si>
    <t>time_mandante</t>
  </si>
  <si>
    <t>time_visitante</t>
  </si>
  <si>
    <t>previsão_ocupacao</t>
  </si>
  <si>
    <t>score_modelo_1</t>
  </si>
  <si>
    <t>rmse</t>
  </si>
  <si>
    <t>mae</t>
  </si>
  <si>
    <t>ocupacao_real</t>
  </si>
  <si>
    <t>diferença</t>
  </si>
  <si>
    <t>média</t>
  </si>
  <si>
    <t>previsão_prejuizo_lucro</t>
  </si>
  <si>
    <t>score_modelo_2</t>
  </si>
  <si>
    <t>acurácia_modelo_2</t>
  </si>
  <si>
    <t>prejuizo_lucro</t>
  </si>
  <si>
    <t>acertou_não</t>
  </si>
  <si>
    <t>pct_acertos</t>
  </si>
  <si>
    <t>previsão_resultado_partida</t>
  </si>
  <si>
    <t>score_modelo_3</t>
  </si>
  <si>
    <t>acurácia_modelo_3</t>
  </si>
  <si>
    <t>resultado_partida</t>
  </si>
  <si>
    <t>modelo_1</t>
  </si>
  <si>
    <t>modelo_2</t>
  </si>
  <si>
    <t>modelo_3</t>
  </si>
  <si>
    <t>libertadores</t>
  </si>
  <si>
    <t>fase de grupos</t>
  </si>
  <si>
    <t>Botafogo</t>
  </si>
  <si>
    <t>Junior Barranquilla</t>
  </si>
  <si>
    <t>XGboost</t>
  </si>
  <si>
    <t>serie a</t>
  </si>
  <si>
    <t>liga</t>
  </si>
  <si>
    <t>Atlético-GO</t>
  </si>
  <si>
    <t>Juventude</t>
  </si>
  <si>
    <t>Universitario-PER</t>
  </si>
  <si>
    <t>copa do brasil</t>
  </si>
  <si>
    <t>terceira fase</t>
  </si>
  <si>
    <t>Vitória</t>
  </si>
  <si>
    <t>EC Bahia</t>
  </si>
  <si>
    <t>LDU</t>
  </si>
  <si>
    <t>Fluminense</t>
  </si>
  <si>
    <t>Athletico-PR</t>
  </si>
  <si>
    <t>RB Bragantino</t>
  </si>
  <si>
    <t>Atlético-MG</t>
  </si>
  <si>
    <t>Palmeiras</t>
  </si>
  <si>
    <t>Internacional</t>
  </si>
  <si>
    <t>Cruzeiro</t>
  </si>
  <si>
    <t>oitavas-de-final</t>
  </si>
  <si>
    <t>Bahia</t>
  </si>
  <si>
    <t>Flamengo</t>
  </si>
  <si>
    <t>Fortaleza</t>
  </si>
  <si>
    <t>Corinthians</t>
  </si>
  <si>
    <t>quartas-de-final</t>
  </si>
  <si>
    <t>São Paulo</t>
  </si>
  <si>
    <t>Grêmio</t>
  </si>
  <si>
    <t>Criciúma</t>
  </si>
  <si>
    <t>semi-final</t>
  </si>
  <si>
    <t>Peñarol</t>
  </si>
  <si>
    <t>Vasco da Gama</t>
  </si>
  <si>
    <t>Cuiabá-MT</t>
  </si>
  <si>
    <t>carioca</t>
  </si>
  <si>
    <t>Maricá</t>
  </si>
  <si>
    <t>Portuguesa-RJ</t>
  </si>
  <si>
    <t>Volta Redonda</t>
  </si>
  <si>
    <t>Bangu</t>
  </si>
  <si>
    <t>recopa-brasileira</t>
  </si>
  <si>
    <t>final</t>
  </si>
  <si>
    <t>Madureira</t>
  </si>
  <si>
    <t>recopa-sulamericana</t>
  </si>
  <si>
    <t>Racing</t>
  </si>
  <si>
    <t>amistoso</t>
  </si>
  <si>
    <t>unico</t>
  </si>
  <si>
    <t>Novorizontino</t>
  </si>
  <si>
    <t>Carabobo</t>
  </si>
  <si>
    <t>Catboost</t>
  </si>
  <si>
    <t>Capital</t>
  </si>
  <si>
    <t>Estudiantes de La Plata</t>
  </si>
  <si>
    <t>Universidade de Chile</t>
  </si>
  <si>
    <t>Ceará</t>
  </si>
  <si>
    <t>Mirassol</t>
  </si>
  <si>
    <t xml:space="preserve">EC Bahia	</t>
  </si>
  <si>
    <t>Santos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</si>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</sst>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Fill="1"/>
    <xf numFmtId="0" fontId="1" fillId="0" borderId="1" xfId="0" applyFont="1" applyBorder="1" applyAlignment="1">
      <alignment horizontal="center" vertical="top" wrapText="1"/>
    </xf>
    <xf numFmtId="10" fontId="0" fillId="0" borderId="0" xfId="0" applyNumberFormat="1"/>
    <xf numFmtId="10" fontId="0" fillId="2" borderId="0" xfId="0" applyNumberFormat="1" applyFill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topLeftCell="O50" workbookViewId="0">
      <selection activeCell="Y62" sqref="Y62"/>
    </sheetView>
  </sheetViews>
  <sheetFormatPr defaultRowHeight="15"/>
  <cols>
    <col min="1" max="1" width="16.42578125" bestFit="1" customWidth="1"/>
    <col min="2" max="2" width="19.140625" bestFit="1" customWidth="1"/>
    <col min="3" max="3" width="14.7109375" bestFit="1" customWidth="1"/>
    <col min="4" max="4" width="19" bestFit="1" customWidth="1"/>
    <col min="5" max="5" width="15.140625" bestFit="1" customWidth="1"/>
    <col min="6" max="6" width="20.85546875" bestFit="1" customWidth="1"/>
    <col min="7" max="7" width="18" bestFit="1" customWidth="1"/>
    <col min="8" max="8" width="15.5703125" bestFit="1" customWidth="1"/>
    <col min="9" max="10" width="12.28515625" bestFit="1" customWidth="1"/>
    <col min="11" max="11" width="13.85546875" bestFit="1" customWidth="1"/>
    <col min="12" max="13" width="13.85546875" customWidth="1"/>
    <col min="14" max="14" width="22.140625" bestFit="1" customWidth="1"/>
    <col min="15" max="15" width="15.5703125" bestFit="1" customWidth="1"/>
    <col min="16" max="16" width="18.28515625" bestFit="1" customWidth="1"/>
    <col min="17" max="17" width="13.5703125" bestFit="1" customWidth="1"/>
    <col min="18" max="18" width="13.5703125" customWidth="1"/>
    <col min="19" max="19" width="12.85546875" customWidth="1"/>
    <col min="20" max="20" width="25.42578125" bestFit="1" customWidth="1"/>
    <col min="21" max="21" width="15.5703125" bestFit="1" customWidth="1"/>
    <col min="22" max="22" width="18.28515625" bestFit="1" customWidth="1"/>
    <col min="23" max="23" width="16.85546875" bestFit="1" customWidth="1"/>
    <col min="24" max="25" width="16.855468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</v>
      </c>
      <c r="Y1" s="1" t="s">
        <v>18</v>
      </c>
      <c r="Z1" s="1" t="s">
        <v>23</v>
      </c>
      <c r="AA1" s="1" t="s">
        <v>24</v>
      </c>
      <c r="AB1" s="1" t="s">
        <v>25</v>
      </c>
    </row>
    <row r="2" spans="1:28">
      <c r="A2">
        <v>2024</v>
      </c>
      <c r="B2" t="s">
        <v>26</v>
      </c>
      <c r="C2" t="s">
        <v>27</v>
      </c>
      <c r="D2" s="2">
        <v>45385</v>
      </c>
      <c r="E2" t="s">
        <v>28</v>
      </c>
      <c r="F2" t="s">
        <v>29</v>
      </c>
      <c r="G2">
        <v>44.068219999999997</v>
      </c>
      <c r="H2">
        <v>68.2</v>
      </c>
      <c r="I2">
        <v>17.678699999999999</v>
      </c>
      <c r="J2">
        <v>14.642899999999999</v>
      </c>
      <c r="K2">
        <v>83.183819999999997</v>
      </c>
      <c r="L2">
        <f>ABS(K2-G2)</f>
        <v>39.115600000000001</v>
      </c>
      <c r="N2">
        <v>1</v>
      </c>
      <c r="O2">
        <v>53.7</v>
      </c>
      <c r="P2">
        <v>0.43</v>
      </c>
      <c r="Q2">
        <v>1</v>
      </c>
      <c r="T2">
        <v>2</v>
      </c>
      <c r="U2">
        <v>81.400000000000006</v>
      </c>
      <c r="V2">
        <v>0.64</v>
      </c>
      <c r="W2">
        <v>2</v>
      </c>
      <c r="Z2" t="s">
        <v>30</v>
      </c>
      <c r="AA2" t="s">
        <v>30</v>
      </c>
      <c r="AB2" t="s">
        <v>30</v>
      </c>
    </row>
    <row r="3" spans="1:28">
      <c r="A3">
        <v>2024</v>
      </c>
      <c r="B3" t="s">
        <v>31</v>
      </c>
      <c r="C3" t="s">
        <v>32</v>
      </c>
      <c r="D3" s="2">
        <v>45400</v>
      </c>
      <c r="E3" t="s">
        <v>28</v>
      </c>
      <c r="F3" t="s">
        <v>33</v>
      </c>
      <c r="G3">
        <v>58.738190000000003</v>
      </c>
      <c r="H3">
        <v>79.900000000000006</v>
      </c>
      <c r="I3">
        <v>16.328600000000002</v>
      </c>
      <c r="J3">
        <v>14.04</v>
      </c>
      <c r="K3">
        <v>18.128740000000001</v>
      </c>
      <c r="L3">
        <f>ABS(K3-G3)</f>
        <v>40.609450000000002</v>
      </c>
      <c r="N3">
        <v>1</v>
      </c>
      <c r="O3">
        <v>56.4</v>
      </c>
      <c r="P3">
        <v>0.36</v>
      </c>
      <c r="Q3">
        <v>0</v>
      </c>
      <c r="T3">
        <v>1</v>
      </c>
      <c r="U3">
        <v>85.5</v>
      </c>
      <c r="V3">
        <v>0.56999999999999995</v>
      </c>
      <c r="W3">
        <v>1</v>
      </c>
      <c r="Z3" t="s">
        <v>30</v>
      </c>
      <c r="AA3" t="s">
        <v>30</v>
      </c>
      <c r="AB3" t="s">
        <v>30</v>
      </c>
    </row>
    <row r="4" spans="1:28">
      <c r="A4">
        <v>2024</v>
      </c>
      <c r="B4" t="s">
        <v>31</v>
      </c>
      <c r="C4" t="s">
        <v>32</v>
      </c>
      <c r="D4" s="2">
        <v>45404</v>
      </c>
      <c r="E4" t="s">
        <v>28</v>
      </c>
      <c r="F4" t="s">
        <v>34</v>
      </c>
      <c r="G4">
        <v>41.46651</v>
      </c>
      <c r="H4">
        <v>60.7</v>
      </c>
      <c r="I4">
        <v>20.349399999999999</v>
      </c>
      <c r="J4">
        <v>18.114999999999998</v>
      </c>
      <c r="K4">
        <v>28.281939999999999</v>
      </c>
      <c r="L4">
        <f>ABS(K4-G4)</f>
        <v>13.184570000000001</v>
      </c>
      <c r="N4">
        <v>1</v>
      </c>
      <c r="O4">
        <v>53.6</v>
      </c>
      <c r="P4">
        <v>0.43</v>
      </c>
      <c r="Q4">
        <v>0</v>
      </c>
      <c r="T4">
        <v>1</v>
      </c>
      <c r="U4">
        <v>82.1</v>
      </c>
      <c r="V4">
        <v>0.64</v>
      </c>
      <c r="W4">
        <v>1</v>
      </c>
      <c r="Z4" t="s">
        <v>30</v>
      </c>
      <c r="AA4" t="s">
        <v>30</v>
      </c>
      <c r="AB4" t="s">
        <v>30</v>
      </c>
    </row>
    <row r="5" spans="1:28">
      <c r="A5">
        <v>2024</v>
      </c>
      <c r="B5" t="s">
        <v>26</v>
      </c>
      <c r="C5" t="s">
        <v>27</v>
      </c>
      <c r="D5" s="2">
        <v>45406</v>
      </c>
      <c r="E5" t="s">
        <v>28</v>
      </c>
      <c r="F5" t="s">
        <v>35</v>
      </c>
      <c r="G5">
        <v>45.5488</v>
      </c>
      <c r="H5">
        <v>72.900000000000006</v>
      </c>
      <c r="I5">
        <v>17.3216</v>
      </c>
      <c r="J5">
        <v>15.2087</v>
      </c>
      <c r="K5">
        <v>50.712699999999998</v>
      </c>
      <c r="L5">
        <f>ABS(K5-G5)</f>
        <v>5.1638999999999982</v>
      </c>
      <c r="N5">
        <v>1</v>
      </c>
      <c r="O5">
        <v>55.4</v>
      </c>
      <c r="P5">
        <v>0.33</v>
      </c>
      <c r="Q5">
        <v>1</v>
      </c>
      <c r="T5">
        <v>1</v>
      </c>
      <c r="U5">
        <v>83.9</v>
      </c>
      <c r="V5">
        <v>0.4</v>
      </c>
      <c r="W5">
        <v>1</v>
      </c>
      <c r="Z5" t="s">
        <v>30</v>
      </c>
      <c r="AA5" t="s">
        <v>30</v>
      </c>
      <c r="AB5" t="s">
        <v>30</v>
      </c>
    </row>
    <row r="6" spans="1:28">
      <c r="A6">
        <v>2024</v>
      </c>
      <c r="B6" t="s">
        <v>36</v>
      </c>
      <c r="C6" t="s">
        <v>37</v>
      </c>
      <c r="D6" s="2">
        <v>45414</v>
      </c>
      <c r="E6" t="s">
        <v>28</v>
      </c>
      <c r="F6" t="s">
        <v>38</v>
      </c>
      <c r="G6">
        <v>60.616540000000001</v>
      </c>
      <c r="H6">
        <v>75.400000000000006</v>
      </c>
      <c r="I6">
        <v>19.423300000000001</v>
      </c>
      <c r="J6">
        <v>16.566600000000001</v>
      </c>
      <c r="K6">
        <v>40.796059999999997</v>
      </c>
      <c r="L6">
        <f>ABS(K6-G6)</f>
        <v>19.820480000000003</v>
      </c>
      <c r="N6">
        <v>0</v>
      </c>
      <c r="O6">
        <v>71.900000000000006</v>
      </c>
      <c r="P6">
        <v>0.73</v>
      </c>
      <c r="Q6">
        <v>0</v>
      </c>
      <c r="T6">
        <v>1</v>
      </c>
      <c r="U6">
        <v>78.900000000000006</v>
      </c>
      <c r="V6">
        <v>0.6</v>
      </c>
      <c r="W6">
        <v>1</v>
      </c>
      <c r="Z6" t="s">
        <v>30</v>
      </c>
      <c r="AA6" t="s">
        <v>30</v>
      </c>
      <c r="AB6" t="s">
        <v>30</v>
      </c>
    </row>
    <row r="7" spans="1:28">
      <c r="A7">
        <v>2024</v>
      </c>
      <c r="B7" t="s">
        <v>31</v>
      </c>
      <c r="C7" t="s">
        <v>32</v>
      </c>
      <c r="D7" s="2">
        <v>45418</v>
      </c>
      <c r="E7" t="s">
        <v>28</v>
      </c>
      <c r="F7" t="s">
        <v>39</v>
      </c>
      <c r="G7">
        <v>48.577350000000003</v>
      </c>
      <c r="H7">
        <v>50.3</v>
      </c>
      <c r="I7">
        <v>20.175000000000001</v>
      </c>
      <c r="J7">
        <v>17.729299999999999</v>
      </c>
      <c r="K7">
        <v>48.34</v>
      </c>
      <c r="L7">
        <f>ABS(K7-G7)</f>
        <v>0.23734999999999928</v>
      </c>
      <c r="N7">
        <v>1</v>
      </c>
      <c r="O7">
        <v>74.099999999999994</v>
      </c>
      <c r="P7">
        <v>0.4</v>
      </c>
      <c r="Q7">
        <v>1</v>
      </c>
      <c r="T7">
        <v>1</v>
      </c>
      <c r="U7">
        <v>81</v>
      </c>
      <c r="V7">
        <v>0.6</v>
      </c>
      <c r="W7">
        <v>2</v>
      </c>
      <c r="Z7" t="s">
        <v>30</v>
      </c>
      <c r="AA7" t="s">
        <v>30</v>
      </c>
      <c r="AB7" t="s">
        <v>30</v>
      </c>
    </row>
    <row r="8" spans="1:28" s="3" customFormat="1">
      <c r="A8" s="3">
        <v>2024</v>
      </c>
      <c r="B8" s="3" t="s">
        <v>26</v>
      </c>
      <c r="C8" s="3" t="s">
        <v>27</v>
      </c>
      <c r="D8" s="4">
        <v>45420</v>
      </c>
      <c r="E8" s="3" t="s">
        <v>28</v>
      </c>
      <c r="F8" s="3" t="s">
        <v>40</v>
      </c>
      <c r="G8" s="3">
        <v>49.195770000000003</v>
      </c>
      <c r="H8" s="3">
        <v>52.7</v>
      </c>
      <c r="I8" s="3">
        <v>20.1204</v>
      </c>
      <c r="J8" s="3">
        <v>17.044</v>
      </c>
      <c r="K8" s="3">
        <v>53.3215</v>
      </c>
      <c r="L8">
        <f>ABS(K8-G8)</f>
        <v>4.1257299999999972</v>
      </c>
      <c r="M8" s="3">
        <f>GEOMEAN(L2:L8)</f>
        <v>8.0010400351641291</v>
      </c>
      <c r="N8" s="3">
        <v>1</v>
      </c>
      <c r="O8" s="3">
        <v>79.7</v>
      </c>
      <c r="P8" s="3">
        <v>0.53</v>
      </c>
      <c r="Q8" s="3">
        <v>1</v>
      </c>
      <c r="S8" s="8">
        <v>0.71399999999999997</v>
      </c>
      <c r="T8" s="3">
        <v>2</v>
      </c>
      <c r="U8" s="3">
        <v>69.400000000000006</v>
      </c>
      <c r="V8" s="3">
        <v>0.67</v>
      </c>
      <c r="W8" s="3">
        <v>1</v>
      </c>
      <c r="Y8" s="8">
        <v>0.71399999999999997</v>
      </c>
      <c r="Z8" s="3" t="s">
        <v>30</v>
      </c>
      <c r="AA8" s="3" t="s">
        <v>30</v>
      </c>
      <c r="AB8" s="3" t="s">
        <v>30</v>
      </c>
    </row>
    <row r="9" spans="1:28">
      <c r="A9">
        <v>2024</v>
      </c>
      <c r="B9" t="s">
        <v>31</v>
      </c>
      <c r="C9" t="s">
        <v>32</v>
      </c>
      <c r="D9" s="2">
        <v>45454</v>
      </c>
      <c r="E9" t="s">
        <v>28</v>
      </c>
      <c r="F9" t="s">
        <v>41</v>
      </c>
      <c r="G9">
        <v>55.472329999999999</v>
      </c>
      <c r="H9">
        <v>66.3</v>
      </c>
      <c r="I9">
        <v>18.116199999999999</v>
      </c>
      <c r="J9">
        <v>15.564</v>
      </c>
      <c r="K9">
        <v>58.040529999999997</v>
      </c>
      <c r="L9">
        <f t="shared" ref="L9:L61" si="0">ABS(K9-G9)</f>
        <v>2.5681999999999974</v>
      </c>
      <c r="N9">
        <v>1</v>
      </c>
      <c r="O9">
        <v>53.3</v>
      </c>
      <c r="P9">
        <v>0.47</v>
      </c>
      <c r="Q9">
        <v>1</v>
      </c>
      <c r="R9">
        <f>IF(N9=Q9,1,0)</f>
        <v>1</v>
      </c>
      <c r="T9">
        <v>2</v>
      </c>
      <c r="U9">
        <v>70</v>
      </c>
      <c r="V9">
        <v>0.7</v>
      </c>
      <c r="W9">
        <v>1</v>
      </c>
      <c r="X9">
        <f>IF(T9=W9,1,0)</f>
        <v>0</v>
      </c>
      <c r="Z9" t="s">
        <v>30</v>
      </c>
      <c r="AA9" t="s">
        <v>30</v>
      </c>
      <c r="AB9" t="s">
        <v>30</v>
      </c>
    </row>
    <row r="10" spans="1:28">
      <c r="A10">
        <v>2024</v>
      </c>
      <c r="B10" t="s">
        <v>31</v>
      </c>
      <c r="C10" t="s">
        <v>32</v>
      </c>
      <c r="D10" s="2">
        <v>45462</v>
      </c>
      <c r="E10" t="s">
        <v>28</v>
      </c>
      <c r="F10" t="s">
        <v>42</v>
      </c>
      <c r="G10">
        <v>61.271320000000003</v>
      </c>
      <c r="H10">
        <v>83</v>
      </c>
      <c r="I10">
        <v>16.632400000000001</v>
      </c>
      <c r="J10">
        <v>14.3231</v>
      </c>
      <c r="K10">
        <v>41.74</v>
      </c>
      <c r="L10">
        <f t="shared" si="0"/>
        <v>19.531320000000001</v>
      </c>
      <c r="N10">
        <v>1</v>
      </c>
      <c r="O10">
        <v>53.3</v>
      </c>
      <c r="P10">
        <v>0.5</v>
      </c>
      <c r="Q10">
        <v>0</v>
      </c>
      <c r="R10">
        <f t="shared" ref="R10:R61" si="1">IF(N10=Q10,1,0)</f>
        <v>0</v>
      </c>
      <c r="T10">
        <v>2</v>
      </c>
      <c r="U10">
        <v>83.3</v>
      </c>
      <c r="V10">
        <v>0.88</v>
      </c>
      <c r="W10">
        <v>0</v>
      </c>
      <c r="X10">
        <f t="shared" ref="X10:X28" si="2">IF(T10=W10,1,0)</f>
        <v>0</v>
      </c>
      <c r="Z10" t="s">
        <v>30</v>
      </c>
      <c r="AA10" t="s">
        <v>30</v>
      </c>
      <c r="AB10" t="s">
        <v>30</v>
      </c>
    </row>
    <row r="11" spans="1:28">
      <c r="A11">
        <v>2024</v>
      </c>
      <c r="B11" t="s">
        <v>31</v>
      </c>
      <c r="C11" t="s">
        <v>32</v>
      </c>
      <c r="D11" s="2">
        <v>45469</v>
      </c>
      <c r="E11" t="s">
        <v>28</v>
      </c>
      <c r="F11" t="s">
        <v>43</v>
      </c>
      <c r="G11">
        <v>56.841380000000001</v>
      </c>
      <c r="H11">
        <v>81.099999999999994</v>
      </c>
      <c r="I11">
        <v>18.038699999999999</v>
      </c>
      <c r="J11">
        <v>15.005599999999999</v>
      </c>
      <c r="K11">
        <v>28.409800000000001</v>
      </c>
      <c r="L11">
        <f t="shared" si="0"/>
        <v>28.43158</v>
      </c>
      <c r="N11">
        <v>1</v>
      </c>
      <c r="O11">
        <v>65.599999999999994</v>
      </c>
      <c r="P11">
        <v>0.88</v>
      </c>
      <c r="Q11">
        <v>0</v>
      </c>
      <c r="R11">
        <f t="shared" si="1"/>
        <v>0</v>
      </c>
      <c r="T11">
        <v>0</v>
      </c>
      <c r="U11">
        <v>72.099999999999994</v>
      </c>
      <c r="V11">
        <v>0.69</v>
      </c>
      <c r="W11">
        <v>1</v>
      </c>
      <c r="X11">
        <f t="shared" si="2"/>
        <v>0</v>
      </c>
      <c r="Z11" t="s">
        <v>30</v>
      </c>
      <c r="AA11" t="s">
        <v>30</v>
      </c>
      <c r="AB11" t="s">
        <v>30</v>
      </c>
    </row>
    <row r="12" spans="1:28">
      <c r="A12">
        <v>2024</v>
      </c>
      <c r="B12" t="s">
        <v>31</v>
      </c>
      <c r="C12" t="s">
        <v>32</v>
      </c>
      <c r="D12" s="2">
        <v>45480</v>
      </c>
      <c r="E12" t="s">
        <v>28</v>
      </c>
      <c r="F12" t="s">
        <v>44</v>
      </c>
      <c r="G12">
        <v>58.849040000000002</v>
      </c>
      <c r="H12">
        <v>69.2</v>
      </c>
      <c r="I12">
        <v>19.463000000000001</v>
      </c>
      <c r="J12">
        <v>16.8294</v>
      </c>
      <c r="K12">
        <v>45.986660000000001</v>
      </c>
      <c r="L12">
        <f t="shared" si="0"/>
        <v>12.862380000000002</v>
      </c>
      <c r="N12">
        <v>1</v>
      </c>
      <c r="O12">
        <v>54.8</v>
      </c>
      <c r="P12">
        <v>0.38</v>
      </c>
      <c r="Q12">
        <v>1</v>
      </c>
      <c r="R12">
        <f t="shared" si="1"/>
        <v>1</v>
      </c>
      <c r="T12">
        <v>2</v>
      </c>
      <c r="U12">
        <v>75.8</v>
      </c>
      <c r="V12">
        <v>0.62</v>
      </c>
      <c r="W12">
        <v>1</v>
      </c>
      <c r="X12">
        <f t="shared" si="2"/>
        <v>0</v>
      </c>
      <c r="Z12" t="s">
        <v>30</v>
      </c>
      <c r="AA12" t="s">
        <v>30</v>
      </c>
      <c r="AB12" t="s">
        <v>30</v>
      </c>
    </row>
    <row r="13" spans="1:28">
      <c r="A13">
        <v>2024</v>
      </c>
      <c r="B13" t="s">
        <v>31</v>
      </c>
      <c r="C13" t="s">
        <v>32</v>
      </c>
      <c r="D13" s="2">
        <v>45490</v>
      </c>
      <c r="E13" t="s">
        <v>28</v>
      </c>
      <c r="F13" t="s">
        <v>45</v>
      </c>
      <c r="G13">
        <v>40.399169999999998</v>
      </c>
      <c r="H13">
        <v>79.2</v>
      </c>
      <c r="I13">
        <v>20.848099999999999</v>
      </c>
      <c r="J13">
        <v>18.286300000000001</v>
      </c>
      <c r="K13">
        <v>84.315269999999998</v>
      </c>
      <c r="L13">
        <f t="shared" si="0"/>
        <v>43.9161</v>
      </c>
      <c r="N13">
        <v>1</v>
      </c>
      <c r="O13">
        <v>55.6</v>
      </c>
      <c r="P13">
        <v>0.38</v>
      </c>
      <c r="Q13">
        <v>1</v>
      </c>
      <c r="R13">
        <f t="shared" si="1"/>
        <v>1</v>
      </c>
      <c r="T13">
        <v>1</v>
      </c>
      <c r="U13">
        <v>90.5</v>
      </c>
      <c r="V13">
        <v>0.75</v>
      </c>
      <c r="W13">
        <v>1</v>
      </c>
      <c r="X13">
        <f t="shared" si="2"/>
        <v>1</v>
      </c>
      <c r="Z13" t="s">
        <v>30</v>
      </c>
      <c r="AA13" t="s">
        <v>30</v>
      </c>
      <c r="AB13" t="s">
        <v>30</v>
      </c>
    </row>
    <row r="14" spans="1:28">
      <c r="A14">
        <v>2024</v>
      </c>
      <c r="B14" t="s">
        <v>31</v>
      </c>
      <c r="C14" t="s">
        <v>32</v>
      </c>
      <c r="D14" s="2">
        <v>45493</v>
      </c>
      <c r="E14" t="s">
        <v>28</v>
      </c>
      <c r="F14" t="s">
        <v>46</v>
      </c>
      <c r="G14">
        <v>61.714289999999998</v>
      </c>
      <c r="H14">
        <v>79.7</v>
      </c>
      <c r="I14">
        <v>20.2363</v>
      </c>
      <c r="J14">
        <v>18.100000000000001</v>
      </c>
      <c r="K14">
        <v>66.787409999999994</v>
      </c>
      <c r="L14">
        <f t="shared" si="0"/>
        <v>5.0731199999999959</v>
      </c>
      <c r="N14">
        <v>1</v>
      </c>
      <c r="O14">
        <v>56.2</v>
      </c>
      <c r="P14">
        <v>0.38</v>
      </c>
      <c r="Q14">
        <v>1</v>
      </c>
      <c r="R14">
        <f t="shared" si="1"/>
        <v>1</v>
      </c>
      <c r="T14">
        <v>1</v>
      </c>
      <c r="U14">
        <v>85.9</v>
      </c>
      <c r="V14">
        <v>0.75</v>
      </c>
      <c r="W14">
        <v>1</v>
      </c>
      <c r="X14">
        <f t="shared" si="2"/>
        <v>1</v>
      </c>
      <c r="Z14" t="s">
        <v>30</v>
      </c>
      <c r="AA14" t="s">
        <v>30</v>
      </c>
      <c r="AB14" t="s">
        <v>30</v>
      </c>
    </row>
    <row r="15" spans="1:28">
      <c r="A15">
        <v>2024</v>
      </c>
      <c r="B15" t="s">
        <v>31</v>
      </c>
      <c r="C15" t="s">
        <v>32</v>
      </c>
      <c r="D15" s="2">
        <v>45500</v>
      </c>
      <c r="E15" t="s">
        <v>28</v>
      </c>
      <c r="F15" t="s">
        <v>47</v>
      </c>
      <c r="G15">
        <v>54.648359999999997</v>
      </c>
      <c r="H15">
        <v>68.3</v>
      </c>
      <c r="I15">
        <v>21.518299800000001</v>
      </c>
      <c r="J15">
        <v>18.768235399999998</v>
      </c>
      <c r="K15">
        <v>41.228610000000003</v>
      </c>
      <c r="L15">
        <f t="shared" si="0"/>
        <v>13.419749999999993</v>
      </c>
      <c r="N15">
        <v>1</v>
      </c>
      <c r="O15">
        <v>56.2</v>
      </c>
      <c r="P15">
        <v>0.41</v>
      </c>
      <c r="Q15">
        <v>1</v>
      </c>
      <c r="R15">
        <f t="shared" si="1"/>
        <v>1</v>
      </c>
      <c r="T15">
        <v>1</v>
      </c>
      <c r="U15">
        <v>84.4</v>
      </c>
      <c r="V15">
        <v>0.76</v>
      </c>
      <c r="W15">
        <v>2</v>
      </c>
      <c r="X15">
        <f t="shared" si="2"/>
        <v>0</v>
      </c>
      <c r="Z15" t="s">
        <v>30</v>
      </c>
      <c r="AA15" t="s">
        <v>30</v>
      </c>
      <c r="AB15" t="s">
        <v>30</v>
      </c>
    </row>
    <row r="16" spans="1:28">
      <c r="A16">
        <v>2024</v>
      </c>
      <c r="B16" t="s">
        <v>36</v>
      </c>
      <c r="C16" t="s">
        <v>48</v>
      </c>
      <c r="D16" s="2">
        <v>45504</v>
      </c>
      <c r="E16" t="s">
        <v>28</v>
      </c>
      <c r="F16" t="s">
        <v>49</v>
      </c>
      <c r="G16">
        <v>49.544469999999997</v>
      </c>
      <c r="H16">
        <v>84.2</v>
      </c>
      <c r="I16">
        <v>20.070163900000001</v>
      </c>
      <c r="J16">
        <v>17.785882000000001</v>
      </c>
      <c r="K16">
        <v>40.742789999999999</v>
      </c>
      <c r="L16">
        <f t="shared" si="0"/>
        <v>8.8016799999999975</v>
      </c>
      <c r="N16">
        <v>1</v>
      </c>
      <c r="O16">
        <v>55.4</v>
      </c>
      <c r="P16">
        <v>0.47</v>
      </c>
      <c r="Q16">
        <v>0</v>
      </c>
      <c r="R16">
        <f t="shared" si="1"/>
        <v>0</v>
      </c>
      <c r="T16">
        <v>2</v>
      </c>
      <c r="U16">
        <v>86.2</v>
      </c>
      <c r="V16">
        <v>0.82</v>
      </c>
      <c r="W16">
        <v>0</v>
      </c>
      <c r="X16">
        <f t="shared" si="2"/>
        <v>0</v>
      </c>
      <c r="Z16" t="s">
        <v>30</v>
      </c>
      <c r="AA16" t="s">
        <v>30</v>
      </c>
      <c r="AB16" t="s">
        <v>30</v>
      </c>
    </row>
    <row r="17" spans="1:28">
      <c r="A17">
        <v>2024</v>
      </c>
      <c r="B17" t="s">
        <v>26</v>
      </c>
      <c r="C17" t="s">
        <v>48</v>
      </c>
      <c r="D17" s="2">
        <v>45518</v>
      </c>
      <c r="E17" t="s">
        <v>28</v>
      </c>
      <c r="F17" t="s">
        <v>45</v>
      </c>
      <c r="G17">
        <v>55.807139999999997</v>
      </c>
      <c r="H17">
        <v>77.5</v>
      </c>
      <c r="I17">
        <v>20.720800000000001</v>
      </c>
      <c r="J17">
        <v>18.023599999999998</v>
      </c>
      <c r="K17">
        <v>82.776840000000007</v>
      </c>
      <c r="L17">
        <f t="shared" si="0"/>
        <v>26.96970000000001</v>
      </c>
      <c r="N17">
        <v>1</v>
      </c>
      <c r="O17">
        <v>57.6</v>
      </c>
      <c r="P17">
        <v>0.41</v>
      </c>
      <c r="Q17">
        <v>1</v>
      </c>
      <c r="R17">
        <f t="shared" si="1"/>
        <v>1</v>
      </c>
      <c r="T17">
        <v>2</v>
      </c>
      <c r="U17">
        <v>81.8</v>
      </c>
      <c r="V17">
        <v>0.82</v>
      </c>
      <c r="W17">
        <v>1</v>
      </c>
      <c r="X17">
        <f t="shared" si="2"/>
        <v>0</v>
      </c>
      <c r="Z17" t="s">
        <v>30</v>
      </c>
      <c r="AA17" t="s">
        <v>30</v>
      </c>
      <c r="AB17" t="s">
        <v>30</v>
      </c>
    </row>
    <row r="18" spans="1:28">
      <c r="A18">
        <v>2024</v>
      </c>
      <c r="B18" t="s">
        <v>31</v>
      </c>
      <c r="C18" t="s">
        <v>32</v>
      </c>
      <c r="D18" s="2">
        <v>45521</v>
      </c>
      <c r="E18" t="s">
        <v>28</v>
      </c>
      <c r="F18" t="s">
        <v>50</v>
      </c>
      <c r="G18">
        <v>46.967509999999997</v>
      </c>
      <c r="H18">
        <v>82.2</v>
      </c>
      <c r="I18">
        <v>15.222</v>
      </c>
      <c r="J18">
        <v>13.3047</v>
      </c>
      <c r="K18">
        <v>55.161830000000002</v>
      </c>
      <c r="L18">
        <f t="shared" si="0"/>
        <v>8.1943200000000047</v>
      </c>
      <c r="N18">
        <v>1</v>
      </c>
      <c r="O18">
        <v>55.2</v>
      </c>
      <c r="P18">
        <v>0.53</v>
      </c>
      <c r="Q18">
        <v>1</v>
      </c>
      <c r="R18">
        <f t="shared" si="1"/>
        <v>1</v>
      </c>
      <c r="T18">
        <v>1</v>
      </c>
      <c r="U18">
        <v>83.4</v>
      </c>
      <c r="V18">
        <v>0.53</v>
      </c>
      <c r="W18">
        <v>1</v>
      </c>
      <c r="X18">
        <f t="shared" si="2"/>
        <v>1</v>
      </c>
      <c r="Z18" t="s">
        <v>30</v>
      </c>
      <c r="AA18" t="s">
        <v>30</v>
      </c>
      <c r="AB18" t="s">
        <v>30</v>
      </c>
    </row>
    <row r="19" spans="1:28">
      <c r="A19">
        <v>2024</v>
      </c>
      <c r="B19" t="s">
        <v>31</v>
      </c>
      <c r="C19" t="s">
        <v>32</v>
      </c>
      <c r="D19" s="2">
        <v>45535</v>
      </c>
      <c r="E19" t="s">
        <v>28</v>
      </c>
      <c r="F19" t="s">
        <v>51</v>
      </c>
      <c r="G19">
        <v>49.802289999999999</v>
      </c>
      <c r="H19">
        <v>60.7</v>
      </c>
      <c r="I19">
        <v>17.753299999999999</v>
      </c>
      <c r="J19">
        <v>15.7935</v>
      </c>
      <c r="K19">
        <v>69.386970000000005</v>
      </c>
      <c r="L19">
        <f t="shared" si="0"/>
        <v>19.584680000000006</v>
      </c>
      <c r="N19">
        <v>1</v>
      </c>
      <c r="O19">
        <v>55.9</v>
      </c>
      <c r="P19">
        <v>0.47</v>
      </c>
      <c r="Q19">
        <v>1</v>
      </c>
      <c r="R19">
        <f t="shared" si="1"/>
        <v>1</v>
      </c>
      <c r="T19">
        <v>2</v>
      </c>
      <c r="U19">
        <v>85.3</v>
      </c>
      <c r="V19">
        <v>0.76</v>
      </c>
      <c r="W19">
        <v>1</v>
      </c>
      <c r="X19">
        <f t="shared" si="2"/>
        <v>0</v>
      </c>
      <c r="Z19" t="s">
        <v>30</v>
      </c>
      <c r="AA19" t="s">
        <v>30</v>
      </c>
      <c r="AB19" t="s">
        <v>30</v>
      </c>
    </row>
    <row r="20" spans="1:28">
      <c r="A20">
        <v>2024</v>
      </c>
      <c r="B20" t="s">
        <v>31</v>
      </c>
      <c r="C20" t="s">
        <v>32</v>
      </c>
      <c r="D20" s="2">
        <v>45549</v>
      </c>
      <c r="E20" t="s">
        <v>28</v>
      </c>
      <c r="F20" t="s">
        <v>52</v>
      </c>
      <c r="G20">
        <v>50.935029999999998</v>
      </c>
      <c r="H20">
        <v>82.5</v>
      </c>
      <c r="I20">
        <v>13.939552000000001</v>
      </c>
      <c r="J20">
        <v>10.636100000000001</v>
      </c>
      <c r="K20">
        <v>69.657579999999996</v>
      </c>
      <c r="L20">
        <f t="shared" si="0"/>
        <v>18.722549999999998</v>
      </c>
      <c r="N20">
        <v>1</v>
      </c>
      <c r="O20">
        <v>55.9</v>
      </c>
      <c r="P20">
        <v>0.5</v>
      </c>
      <c r="Q20">
        <v>1</v>
      </c>
      <c r="R20">
        <f t="shared" si="1"/>
        <v>1</v>
      </c>
      <c r="T20">
        <v>2</v>
      </c>
      <c r="U20">
        <v>83.8</v>
      </c>
      <c r="V20">
        <v>0.67</v>
      </c>
      <c r="W20">
        <v>1</v>
      </c>
      <c r="X20">
        <f t="shared" si="2"/>
        <v>0</v>
      </c>
      <c r="Z20" t="s">
        <v>30</v>
      </c>
      <c r="AA20" t="s">
        <v>30</v>
      </c>
      <c r="AB20" t="s">
        <v>30</v>
      </c>
    </row>
    <row r="21" spans="1:28">
      <c r="A21">
        <v>2024</v>
      </c>
      <c r="B21" t="s">
        <v>26</v>
      </c>
      <c r="C21" t="s">
        <v>53</v>
      </c>
      <c r="D21" s="2">
        <v>45553</v>
      </c>
      <c r="E21" t="s">
        <v>28</v>
      </c>
      <c r="F21" t="s">
        <v>54</v>
      </c>
      <c r="G21">
        <v>52.553750000000001</v>
      </c>
      <c r="H21">
        <v>59.1</v>
      </c>
      <c r="I21">
        <v>20.857500000000002</v>
      </c>
      <c r="J21">
        <v>17.16666</v>
      </c>
      <c r="K21">
        <v>85.421149999999997</v>
      </c>
      <c r="L21">
        <f t="shared" si="0"/>
        <v>32.867399999999996</v>
      </c>
      <c r="N21">
        <v>1</v>
      </c>
      <c r="O21">
        <v>53.6</v>
      </c>
      <c r="P21">
        <v>0.61</v>
      </c>
      <c r="Q21">
        <v>1</v>
      </c>
      <c r="R21">
        <f t="shared" si="1"/>
        <v>1</v>
      </c>
      <c r="T21">
        <v>2</v>
      </c>
      <c r="U21">
        <v>85.5</v>
      </c>
      <c r="V21">
        <v>0.78</v>
      </c>
      <c r="W21">
        <v>0</v>
      </c>
      <c r="X21">
        <f t="shared" si="2"/>
        <v>0</v>
      </c>
      <c r="Z21" t="s">
        <v>30</v>
      </c>
      <c r="AA21" t="s">
        <v>30</v>
      </c>
      <c r="AB21" t="s">
        <v>30</v>
      </c>
    </row>
    <row r="22" spans="1:28">
      <c r="A22">
        <v>2024</v>
      </c>
      <c r="B22" t="s">
        <v>31</v>
      </c>
      <c r="C22" t="s">
        <v>32</v>
      </c>
      <c r="D22" s="2">
        <v>45563</v>
      </c>
      <c r="E22" t="s">
        <v>28</v>
      </c>
      <c r="F22" t="s">
        <v>55</v>
      </c>
      <c r="G22">
        <v>48.551270000000002</v>
      </c>
      <c r="H22">
        <v>72.2</v>
      </c>
      <c r="I22">
        <v>17.972999999999999</v>
      </c>
      <c r="J22">
        <v>14.3094</v>
      </c>
      <c r="K22">
        <v>41.64423</v>
      </c>
      <c r="L22">
        <f t="shared" si="0"/>
        <v>6.9070400000000021</v>
      </c>
      <c r="N22">
        <v>1</v>
      </c>
      <c r="O22">
        <v>60</v>
      </c>
      <c r="P22">
        <v>0.67</v>
      </c>
      <c r="Q22">
        <v>1</v>
      </c>
      <c r="R22">
        <f t="shared" si="1"/>
        <v>1</v>
      </c>
      <c r="T22">
        <v>2</v>
      </c>
      <c r="U22">
        <v>78.599999999999994</v>
      </c>
      <c r="V22">
        <v>0.78</v>
      </c>
      <c r="W22">
        <v>0</v>
      </c>
      <c r="X22">
        <f t="shared" si="2"/>
        <v>0</v>
      </c>
      <c r="Z22" t="s">
        <v>30</v>
      </c>
      <c r="AA22" t="s">
        <v>30</v>
      </c>
      <c r="AB22" t="s">
        <v>30</v>
      </c>
    </row>
    <row r="23" spans="1:28">
      <c r="A23">
        <v>2024</v>
      </c>
      <c r="B23" t="s">
        <v>31</v>
      </c>
      <c r="C23" t="s">
        <v>32</v>
      </c>
      <c r="D23" s="2">
        <v>45584</v>
      </c>
      <c r="E23" t="s">
        <v>28</v>
      </c>
      <c r="F23" t="s">
        <v>56</v>
      </c>
      <c r="G23">
        <v>50.299619999999997</v>
      </c>
      <c r="H23">
        <v>77.2</v>
      </c>
      <c r="I23">
        <v>19.378499999999999</v>
      </c>
      <c r="J23">
        <v>17.1767</v>
      </c>
      <c r="K23">
        <v>82.10127</v>
      </c>
      <c r="L23">
        <f t="shared" si="0"/>
        <v>31.801650000000002</v>
      </c>
      <c r="N23">
        <v>1</v>
      </c>
      <c r="O23">
        <v>57.7</v>
      </c>
      <c r="P23">
        <v>0.5</v>
      </c>
      <c r="Q23">
        <v>1</v>
      </c>
      <c r="R23">
        <f t="shared" si="1"/>
        <v>1</v>
      </c>
      <c r="T23">
        <v>0</v>
      </c>
      <c r="U23">
        <v>84.5</v>
      </c>
      <c r="V23">
        <v>0.61</v>
      </c>
      <c r="W23">
        <v>0</v>
      </c>
      <c r="X23">
        <f t="shared" si="2"/>
        <v>1</v>
      </c>
      <c r="Z23" t="s">
        <v>30</v>
      </c>
      <c r="AA23" t="s">
        <v>30</v>
      </c>
      <c r="AB23" t="s">
        <v>30</v>
      </c>
    </row>
    <row r="24" spans="1:28">
      <c r="A24">
        <v>2024</v>
      </c>
      <c r="B24" t="s">
        <v>26</v>
      </c>
      <c r="C24" t="s">
        <v>57</v>
      </c>
      <c r="D24" s="2">
        <v>45588</v>
      </c>
      <c r="E24" t="s">
        <v>28</v>
      </c>
      <c r="F24" t="s">
        <v>58</v>
      </c>
      <c r="G24">
        <v>55.496830000000003</v>
      </c>
      <c r="H24">
        <v>58.6</v>
      </c>
      <c r="I24">
        <v>17.602</v>
      </c>
      <c r="J24">
        <v>15.7606</v>
      </c>
      <c r="K24">
        <v>91.585520000000002</v>
      </c>
      <c r="L24">
        <f t="shared" si="0"/>
        <v>36.08869</v>
      </c>
      <c r="N24">
        <v>1</v>
      </c>
      <c r="O24">
        <v>56.9</v>
      </c>
      <c r="P24">
        <v>0.56000000000000005</v>
      </c>
      <c r="Q24">
        <v>1</v>
      </c>
      <c r="R24">
        <f t="shared" si="1"/>
        <v>1</v>
      </c>
      <c r="T24">
        <v>2</v>
      </c>
      <c r="U24">
        <v>83.3</v>
      </c>
      <c r="V24">
        <v>0.56000000000000005</v>
      </c>
      <c r="W24">
        <v>1</v>
      </c>
      <c r="X24">
        <f t="shared" si="2"/>
        <v>0</v>
      </c>
      <c r="Z24" t="s">
        <v>30</v>
      </c>
      <c r="AA24" t="s">
        <v>30</v>
      </c>
      <c r="AB24" t="s">
        <v>30</v>
      </c>
    </row>
    <row r="25" spans="1:28">
      <c r="A25">
        <v>2024</v>
      </c>
      <c r="B25" t="s">
        <v>31</v>
      </c>
      <c r="C25" t="s">
        <v>32</v>
      </c>
      <c r="D25" s="2">
        <v>45602</v>
      </c>
      <c r="E25" t="s">
        <v>28</v>
      </c>
      <c r="F25" t="s">
        <v>59</v>
      </c>
      <c r="G25">
        <v>48.591790000000003</v>
      </c>
      <c r="H25">
        <v>70.2</v>
      </c>
      <c r="I25">
        <v>18.746099999999998</v>
      </c>
      <c r="J25">
        <v>16.492599999999999</v>
      </c>
      <c r="K25">
        <v>68.200119999999998</v>
      </c>
      <c r="L25">
        <f t="shared" si="0"/>
        <v>19.608329999999995</v>
      </c>
      <c r="N25">
        <v>1</v>
      </c>
      <c r="O25">
        <v>58.3</v>
      </c>
      <c r="P25">
        <v>0.53</v>
      </c>
      <c r="Q25">
        <v>1</v>
      </c>
      <c r="R25">
        <f t="shared" si="1"/>
        <v>1</v>
      </c>
      <c r="T25">
        <v>2</v>
      </c>
      <c r="U25">
        <v>79.2</v>
      </c>
      <c r="V25">
        <v>0.57999999999999996</v>
      </c>
      <c r="W25">
        <v>1</v>
      </c>
      <c r="X25">
        <f t="shared" si="2"/>
        <v>0</v>
      </c>
      <c r="Z25" t="s">
        <v>30</v>
      </c>
      <c r="AA25" t="s">
        <v>30</v>
      </c>
      <c r="AB25" t="s">
        <v>30</v>
      </c>
    </row>
    <row r="26" spans="1:28">
      <c r="A26">
        <v>2024</v>
      </c>
      <c r="B26" t="s">
        <v>31</v>
      </c>
      <c r="C26" t="s">
        <v>32</v>
      </c>
      <c r="D26" s="2">
        <v>45605</v>
      </c>
      <c r="E26" t="s">
        <v>28</v>
      </c>
      <c r="F26" t="s">
        <v>60</v>
      </c>
      <c r="G26">
        <v>52.60539</v>
      </c>
      <c r="H26">
        <v>88.9</v>
      </c>
      <c r="I26">
        <v>16.250599999999999</v>
      </c>
      <c r="J26">
        <v>13.3858</v>
      </c>
      <c r="K26">
        <v>89.277879999999996</v>
      </c>
      <c r="L26">
        <f t="shared" si="0"/>
        <v>36.672489999999996</v>
      </c>
      <c r="N26">
        <v>1</v>
      </c>
      <c r="O26">
        <v>58.9</v>
      </c>
      <c r="P26">
        <v>0.53</v>
      </c>
      <c r="Q26">
        <v>1</v>
      </c>
      <c r="R26">
        <f t="shared" si="1"/>
        <v>1</v>
      </c>
      <c r="T26">
        <v>2</v>
      </c>
      <c r="U26">
        <v>80.8</v>
      </c>
      <c r="V26">
        <v>0.74</v>
      </c>
      <c r="W26">
        <v>0</v>
      </c>
      <c r="X26">
        <f t="shared" si="2"/>
        <v>0</v>
      </c>
      <c r="Z26" t="s">
        <v>30</v>
      </c>
      <c r="AA26" t="s">
        <v>30</v>
      </c>
      <c r="AB26" t="s">
        <v>30</v>
      </c>
    </row>
    <row r="27" spans="1:28">
      <c r="A27">
        <v>2024</v>
      </c>
      <c r="B27" t="s">
        <v>31</v>
      </c>
      <c r="C27" t="s">
        <v>32</v>
      </c>
      <c r="D27" s="2">
        <v>45619</v>
      </c>
      <c r="E27" t="s">
        <v>28</v>
      </c>
      <c r="F27" t="s">
        <v>38</v>
      </c>
      <c r="G27">
        <v>48.713949999999997</v>
      </c>
      <c r="H27">
        <v>85.1</v>
      </c>
      <c r="I27">
        <v>17.9053</v>
      </c>
      <c r="J27">
        <v>15.2895</v>
      </c>
      <c r="K27">
        <v>75.62379</v>
      </c>
      <c r="L27">
        <f t="shared" si="0"/>
        <v>26.909840000000003</v>
      </c>
      <c r="N27">
        <v>1</v>
      </c>
      <c r="O27">
        <v>59.5</v>
      </c>
      <c r="P27">
        <v>0.53</v>
      </c>
      <c r="Q27">
        <v>1</v>
      </c>
      <c r="R27">
        <f t="shared" si="1"/>
        <v>1</v>
      </c>
      <c r="T27">
        <v>1</v>
      </c>
      <c r="U27">
        <v>68.900000000000006</v>
      </c>
      <c r="V27">
        <v>0.63</v>
      </c>
      <c r="W27">
        <v>0</v>
      </c>
      <c r="X27">
        <f t="shared" si="2"/>
        <v>0</v>
      </c>
      <c r="Z27" t="s">
        <v>30</v>
      </c>
      <c r="AA27" t="s">
        <v>30</v>
      </c>
      <c r="AB27" t="s">
        <v>30</v>
      </c>
    </row>
    <row r="28" spans="1:28" s="3" customFormat="1">
      <c r="A28" s="3">
        <v>2024</v>
      </c>
      <c r="B28" s="3" t="s">
        <v>31</v>
      </c>
      <c r="C28" s="3" t="s">
        <v>32</v>
      </c>
      <c r="D28" s="4">
        <v>45634</v>
      </c>
      <c r="E28" s="3" t="s">
        <v>28</v>
      </c>
      <c r="F28" s="3" t="s">
        <v>54</v>
      </c>
      <c r="G28" s="3">
        <v>50.816200000000002</v>
      </c>
      <c r="H28" s="3">
        <v>88</v>
      </c>
      <c r="I28" s="3">
        <v>17.528400000000001</v>
      </c>
      <c r="J28" s="3">
        <v>14.9811</v>
      </c>
      <c r="K28" s="3">
        <v>89.463250000000002</v>
      </c>
      <c r="L28" s="3">
        <f t="shared" si="0"/>
        <v>38.64705</v>
      </c>
      <c r="M28" s="3">
        <f>GEOMEAN(L2:L28)</f>
        <v>14.312201399384408</v>
      </c>
      <c r="N28" s="3">
        <v>1</v>
      </c>
      <c r="O28" s="3">
        <v>60</v>
      </c>
      <c r="P28" s="3">
        <v>0.53</v>
      </c>
      <c r="Q28" s="3">
        <v>1</v>
      </c>
      <c r="R28" s="3">
        <f t="shared" si="1"/>
        <v>1</v>
      </c>
      <c r="S28" s="9">
        <f>17/20</f>
        <v>0.85</v>
      </c>
      <c r="T28" s="3">
        <v>2</v>
      </c>
      <c r="U28" s="3">
        <v>84</v>
      </c>
      <c r="V28" s="3">
        <v>0.74</v>
      </c>
      <c r="W28" s="3">
        <v>1</v>
      </c>
      <c r="X28" s="3">
        <f t="shared" si="2"/>
        <v>0</v>
      </c>
      <c r="Y28" s="8">
        <f>4/20</f>
        <v>0.2</v>
      </c>
      <c r="Z28" s="3" t="s">
        <v>30</v>
      </c>
      <c r="AA28" s="3" t="s">
        <v>30</v>
      </c>
      <c r="AB28" s="3" t="s">
        <v>30</v>
      </c>
    </row>
    <row r="29" spans="1:28">
      <c r="A29">
        <v>2025</v>
      </c>
      <c r="B29" t="s">
        <v>61</v>
      </c>
      <c r="C29" t="s">
        <v>32</v>
      </c>
      <c r="D29" s="2">
        <v>45668</v>
      </c>
      <c r="E29" t="s">
        <v>28</v>
      </c>
      <c r="F29" t="s">
        <v>62</v>
      </c>
      <c r="G29">
        <v>46.887099999999997</v>
      </c>
      <c r="H29">
        <v>82.9</v>
      </c>
      <c r="I29">
        <v>19.146842329999998</v>
      </c>
      <c r="J29">
        <v>16.317900000000002</v>
      </c>
      <c r="K29">
        <v>20.513089999999998</v>
      </c>
      <c r="L29" s="5">
        <f t="shared" si="0"/>
        <v>26.374009999999998</v>
      </c>
      <c r="N29">
        <v>1</v>
      </c>
      <c r="O29">
        <v>56.6</v>
      </c>
      <c r="P29">
        <v>0.68</v>
      </c>
      <c r="Q29">
        <v>0</v>
      </c>
      <c r="R29">
        <f t="shared" si="1"/>
        <v>0</v>
      </c>
      <c r="T29">
        <v>2</v>
      </c>
      <c r="U29">
        <v>77.599999999999994</v>
      </c>
      <c r="V29">
        <v>0.53</v>
      </c>
      <c r="W29">
        <v>2</v>
      </c>
      <c r="X29">
        <f>IF(T29=W29,1,0)</f>
        <v>1</v>
      </c>
      <c r="Z29" t="s">
        <v>30</v>
      </c>
      <c r="AA29" t="s">
        <v>30</v>
      </c>
      <c r="AB29" t="s">
        <v>30</v>
      </c>
    </row>
    <row r="30" spans="1:28">
      <c r="A30">
        <v>2025</v>
      </c>
      <c r="B30" t="s">
        <v>61</v>
      </c>
      <c r="C30" t="s">
        <v>32</v>
      </c>
      <c r="D30" s="2">
        <v>45671</v>
      </c>
      <c r="E30" t="s">
        <v>28</v>
      </c>
      <c r="F30" t="s">
        <v>63</v>
      </c>
      <c r="G30">
        <v>40.779209999999999</v>
      </c>
      <c r="H30">
        <v>88.8</v>
      </c>
      <c r="I30">
        <v>16.624344000000001</v>
      </c>
      <c r="J30">
        <v>13.749000000000001</v>
      </c>
      <c r="K30">
        <v>8.0927299999999995</v>
      </c>
      <c r="L30" s="5">
        <f t="shared" si="0"/>
        <v>32.686480000000003</v>
      </c>
      <c r="N30">
        <v>1</v>
      </c>
      <c r="O30">
        <v>59.2</v>
      </c>
      <c r="P30">
        <v>0.55000000000000004</v>
      </c>
      <c r="Q30">
        <v>0</v>
      </c>
      <c r="R30">
        <f t="shared" si="1"/>
        <v>0</v>
      </c>
      <c r="T30">
        <v>0</v>
      </c>
      <c r="U30">
        <v>73.400000000000006</v>
      </c>
      <c r="V30">
        <v>0.7</v>
      </c>
      <c r="W30">
        <v>1</v>
      </c>
      <c r="X30">
        <f t="shared" ref="X30:X61" si="3">IF(T30=W30,1,0)</f>
        <v>0</v>
      </c>
      <c r="Z30" t="s">
        <v>30</v>
      </c>
      <c r="AA30" t="s">
        <v>30</v>
      </c>
      <c r="AB30" t="s">
        <v>30</v>
      </c>
    </row>
    <row r="31" spans="1:28">
      <c r="A31">
        <v>2025</v>
      </c>
      <c r="B31" t="s">
        <v>61</v>
      </c>
      <c r="C31" t="s">
        <v>32</v>
      </c>
      <c r="D31" s="2">
        <v>45679</v>
      </c>
      <c r="E31" t="s">
        <v>28</v>
      </c>
      <c r="F31" t="s">
        <v>64</v>
      </c>
      <c r="G31">
        <v>43.949849999999998</v>
      </c>
      <c r="H31">
        <v>85.2</v>
      </c>
      <c r="I31">
        <v>12.38236</v>
      </c>
      <c r="J31">
        <v>10.358999000000001</v>
      </c>
      <c r="K31">
        <v>5.1863400000000004</v>
      </c>
      <c r="L31" s="5">
        <f t="shared" si="0"/>
        <v>38.763509999999997</v>
      </c>
      <c r="N31">
        <v>1</v>
      </c>
      <c r="O31">
        <v>70</v>
      </c>
      <c r="P31">
        <v>0.54</v>
      </c>
      <c r="Q31">
        <v>0</v>
      </c>
      <c r="R31">
        <f t="shared" si="1"/>
        <v>0</v>
      </c>
      <c r="T31">
        <v>0</v>
      </c>
      <c r="U31">
        <v>71.400000000000006</v>
      </c>
      <c r="V31">
        <v>0.55000000000000004</v>
      </c>
      <c r="W31">
        <v>2</v>
      </c>
      <c r="X31">
        <f t="shared" si="3"/>
        <v>0</v>
      </c>
      <c r="Z31" t="s">
        <v>30</v>
      </c>
      <c r="AA31" t="s">
        <v>30</v>
      </c>
      <c r="AB31" t="s">
        <v>30</v>
      </c>
    </row>
    <row r="32" spans="1:28">
      <c r="A32">
        <v>2025</v>
      </c>
      <c r="B32" t="s">
        <v>61</v>
      </c>
      <c r="C32" t="s">
        <v>32</v>
      </c>
      <c r="D32" s="2">
        <v>45683</v>
      </c>
      <c r="E32" t="s">
        <v>28</v>
      </c>
      <c r="F32" t="s">
        <v>65</v>
      </c>
      <c r="G32">
        <v>40.907209999999999</v>
      </c>
      <c r="H32">
        <v>91.9</v>
      </c>
      <c r="I32">
        <v>14.4513</v>
      </c>
      <c r="J32">
        <v>11.898</v>
      </c>
      <c r="K32">
        <v>5.8895</v>
      </c>
      <c r="L32" s="5">
        <f t="shared" si="0"/>
        <v>35.017710000000001</v>
      </c>
      <c r="N32">
        <v>1</v>
      </c>
      <c r="O32">
        <v>75.599999999999994</v>
      </c>
      <c r="P32">
        <v>0.65</v>
      </c>
      <c r="Q32">
        <v>0</v>
      </c>
      <c r="R32">
        <f t="shared" si="1"/>
        <v>0</v>
      </c>
      <c r="T32">
        <v>2</v>
      </c>
      <c r="U32">
        <v>83.3</v>
      </c>
      <c r="V32">
        <v>0.6</v>
      </c>
      <c r="W32">
        <v>1</v>
      </c>
      <c r="X32">
        <f t="shared" si="3"/>
        <v>0</v>
      </c>
      <c r="Z32" t="s">
        <v>30</v>
      </c>
      <c r="AA32" t="s">
        <v>30</v>
      </c>
      <c r="AB32" t="s">
        <v>30</v>
      </c>
    </row>
    <row r="33" spans="1:28">
      <c r="A33">
        <v>2025</v>
      </c>
      <c r="B33" t="s">
        <v>61</v>
      </c>
      <c r="C33" t="s">
        <v>32</v>
      </c>
      <c r="D33" s="2">
        <v>45686</v>
      </c>
      <c r="E33" t="s">
        <v>28</v>
      </c>
      <c r="F33" t="s">
        <v>41</v>
      </c>
      <c r="G33">
        <v>44.371569999999998</v>
      </c>
      <c r="H33">
        <v>89.6</v>
      </c>
      <c r="I33">
        <v>13.2296</v>
      </c>
      <c r="J33">
        <v>10.903</v>
      </c>
      <c r="K33">
        <v>16.085319999999999</v>
      </c>
      <c r="L33" s="5">
        <f t="shared" si="0"/>
        <v>28.286249999999999</v>
      </c>
      <c r="N33">
        <v>1</v>
      </c>
      <c r="O33">
        <v>57</v>
      </c>
      <c r="P33">
        <v>0.55000000000000004</v>
      </c>
      <c r="Q33">
        <v>0</v>
      </c>
      <c r="R33">
        <f t="shared" si="1"/>
        <v>0</v>
      </c>
      <c r="T33">
        <v>0</v>
      </c>
      <c r="U33">
        <v>79.7</v>
      </c>
      <c r="V33">
        <v>0.45</v>
      </c>
      <c r="W33">
        <v>1</v>
      </c>
      <c r="X33">
        <f t="shared" si="3"/>
        <v>0</v>
      </c>
      <c r="Z33" t="s">
        <v>30</v>
      </c>
      <c r="AA33" t="s">
        <v>30</v>
      </c>
      <c r="AB33" t="s">
        <v>30</v>
      </c>
    </row>
    <row r="34" spans="1:28">
      <c r="A34">
        <v>2025</v>
      </c>
      <c r="B34" t="s">
        <v>66</v>
      </c>
      <c r="C34" t="s">
        <v>67</v>
      </c>
      <c r="D34" s="2">
        <v>45690</v>
      </c>
      <c r="E34" t="s">
        <v>28</v>
      </c>
      <c r="F34" t="s">
        <v>50</v>
      </c>
      <c r="G34">
        <v>59.585050000000003</v>
      </c>
      <c r="H34">
        <v>89.3</v>
      </c>
      <c r="I34">
        <v>18.8386</v>
      </c>
      <c r="J34">
        <v>16.155000000000001</v>
      </c>
      <c r="K34">
        <v>74.57817</v>
      </c>
      <c r="L34" s="5">
        <f t="shared" si="0"/>
        <v>14.993119999999998</v>
      </c>
      <c r="N34">
        <v>1</v>
      </c>
      <c r="O34">
        <v>57.5</v>
      </c>
      <c r="P34">
        <v>0.5</v>
      </c>
      <c r="Q34">
        <v>1</v>
      </c>
      <c r="R34">
        <f t="shared" si="1"/>
        <v>1</v>
      </c>
      <c r="T34">
        <v>0</v>
      </c>
      <c r="U34">
        <v>81.3</v>
      </c>
      <c r="V34">
        <v>0.6</v>
      </c>
      <c r="W34">
        <v>2</v>
      </c>
      <c r="X34">
        <f t="shared" si="3"/>
        <v>0</v>
      </c>
      <c r="Z34" t="s">
        <v>30</v>
      </c>
      <c r="AA34" t="s">
        <v>30</v>
      </c>
      <c r="AB34" t="s">
        <v>30</v>
      </c>
    </row>
    <row r="35" spans="1:28">
      <c r="A35">
        <v>2025</v>
      </c>
      <c r="B35" t="s">
        <v>61</v>
      </c>
      <c r="C35" t="s">
        <v>32</v>
      </c>
      <c r="D35" s="2">
        <v>45696</v>
      </c>
      <c r="E35" t="s">
        <v>28</v>
      </c>
      <c r="F35" t="s">
        <v>68</v>
      </c>
      <c r="G35">
        <v>42.928249999999998</v>
      </c>
      <c r="H35">
        <v>84.4</v>
      </c>
      <c r="I35">
        <v>19.611000000000001</v>
      </c>
      <c r="J35">
        <v>17.5029</v>
      </c>
      <c r="K35">
        <v>21.752079999999999</v>
      </c>
      <c r="L35" s="5">
        <f t="shared" si="0"/>
        <v>21.176169999999999</v>
      </c>
      <c r="N35">
        <v>1</v>
      </c>
      <c r="O35">
        <v>60</v>
      </c>
      <c r="P35">
        <v>0.38</v>
      </c>
      <c r="Q35">
        <v>1</v>
      </c>
      <c r="R35">
        <f t="shared" si="1"/>
        <v>1</v>
      </c>
      <c r="T35">
        <v>0</v>
      </c>
      <c r="U35">
        <v>75</v>
      </c>
      <c r="V35">
        <v>0.67</v>
      </c>
      <c r="W35">
        <v>2</v>
      </c>
      <c r="X35">
        <f t="shared" si="3"/>
        <v>0</v>
      </c>
      <c r="Z35" t="s">
        <v>30</v>
      </c>
      <c r="AA35" t="s">
        <v>30</v>
      </c>
      <c r="AB35" t="s">
        <v>30</v>
      </c>
    </row>
    <row r="36" spans="1:28">
      <c r="A36">
        <v>2025</v>
      </c>
      <c r="B36" t="s">
        <v>69</v>
      </c>
      <c r="C36" t="s">
        <v>67</v>
      </c>
      <c r="D36" s="2">
        <v>45714</v>
      </c>
      <c r="E36" t="s">
        <v>28</v>
      </c>
      <c r="F36" t="s">
        <v>70</v>
      </c>
      <c r="G36">
        <v>49.65278</v>
      </c>
      <c r="H36">
        <v>95.8</v>
      </c>
      <c r="I36">
        <v>15.225899999999999</v>
      </c>
      <c r="J36">
        <v>12.946199999999999</v>
      </c>
      <c r="K36">
        <v>66.001509999999996</v>
      </c>
      <c r="L36" s="5">
        <f t="shared" si="0"/>
        <v>16.348729999999996</v>
      </c>
      <c r="N36">
        <v>1</v>
      </c>
      <c r="O36">
        <v>77.8</v>
      </c>
      <c r="P36">
        <v>0.62</v>
      </c>
      <c r="Q36">
        <v>1</v>
      </c>
      <c r="R36">
        <f t="shared" si="1"/>
        <v>1</v>
      </c>
      <c r="T36">
        <v>0</v>
      </c>
      <c r="U36">
        <v>83.9</v>
      </c>
      <c r="V36">
        <v>0.67</v>
      </c>
      <c r="W36">
        <v>2</v>
      </c>
      <c r="X36">
        <f t="shared" si="3"/>
        <v>0</v>
      </c>
      <c r="Z36" t="s">
        <v>30</v>
      </c>
      <c r="AA36" t="s">
        <v>30</v>
      </c>
      <c r="AB36" t="s">
        <v>30</v>
      </c>
    </row>
    <row r="37" spans="1:28">
      <c r="A37">
        <v>2025</v>
      </c>
      <c r="B37" t="s">
        <v>71</v>
      </c>
      <c r="C37" t="s">
        <v>72</v>
      </c>
      <c r="D37" s="2">
        <v>45738</v>
      </c>
      <c r="E37" t="s">
        <v>28</v>
      </c>
      <c r="F37" t="s">
        <v>73</v>
      </c>
      <c r="G37">
        <v>67.992289999999997</v>
      </c>
      <c r="H37">
        <v>93.9</v>
      </c>
      <c r="I37">
        <v>15.4747</v>
      </c>
      <c r="J37">
        <v>13.32</v>
      </c>
      <c r="K37">
        <v>14.76849</v>
      </c>
      <c r="L37" s="5">
        <f t="shared" si="0"/>
        <v>53.223799999999997</v>
      </c>
      <c r="N37">
        <v>1</v>
      </c>
      <c r="O37">
        <v>56.1</v>
      </c>
      <c r="P37">
        <v>0.56999999999999995</v>
      </c>
      <c r="Q37">
        <v>0</v>
      </c>
      <c r="R37">
        <f t="shared" si="1"/>
        <v>0</v>
      </c>
      <c r="T37">
        <v>2</v>
      </c>
      <c r="U37">
        <v>82.9</v>
      </c>
      <c r="V37">
        <v>0.81</v>
      </c>
      <c r="W37">
        <v>1</v>
      </c>
      <c r="X37">
        <f t="shared" si="3"/>
        <v>0</v>
      </c>
      <c r="Z37" t="s">
        <v>30</v>
      </c>
      <c r="AA37" t="s">
        <v>30</v>
      </c>
      <c r="AB37" t="s">
        <v>30</v>
      </c>
    </row>
    <row r="38" spans="1:28">
      <c r="A38">
        <v>2025</v>
      </c>
      <c r="B38" t="s">
        <v>31</v>
      </c>
      <c r="C38" t="s">
        <v>32</v>
      </c>
      <c r="D38" s="2">
        <v>45752</v>
      </c>
      <c r="E38" t="s">
        <v>28</v>
      </c>
      <c r="F38" t="s">
        <v>34</v>
      </c>
      <c r="G38">
        <v>46.99438</v>
      </c>
      <c r="H38">
        <v>88.5</v>
      </c>
      <c r="I38">
        <v>14.032500000000001</v>
      </c>
      <c r="J38">
        <v>11.7943</v>
      </c>
      <c r="K38">
        <v>21.3718</v>
      </c>
      <c r="L38" s="5">
        <f t="shared" si="0"/>
        <v>25.622579999999999</v>
      </c>
      <c r="N38">
        <v>1</v>
      </c>
      <c r="O38">
        <v>55.4</v>
      </c>
      <c r="P38">
        <v>0.56999999999999995</v>
      </c>
      <c r="Q38">
        <v>0</v>
      </c>
      <c r="R38">
        <f t="shared" si="1"/>
        <v>0</v>
      </c>
      <c r="T38">
        <v>2</v>
      </c>
      <c r="U38">
        <v>80.7</v>
      </c>
      <c r="V38">
        <v>0.71</v>
      </c>
      <c r="W38">
        <v>1</v>
      </c>
      <c r="X38">
        <f t="shared" si="3"/>
        <v>0</v>
      </c>
      <c r="Z38" t="s">
        <v>30</v>
      </c>
      <c r="AA38" t="s">
        <v>30</v>
      </c>
      <c r="AB38" t="s">
        <v>30</v>
      </c>
    </row>
    <row r="39" spans="1:28">
      <c r="A39">
        <v>2025</v>
      </c>
      <c r="B39" t="s">
        <v>26</v>
      </c>
      <c r="C39" t="s">
        <v>27</v>
      </c>
      <c r="D39" s="2">
        <v>45755</v>
      </c>
      <c r="E39" t="s">
        <v>28</v>
      </c>
      <c r="F39" t="s">
        <v>74</v>
      </c>
      <c r="G39">
        <v>46.002849578857401</v>
      </c>
      <c r="H39">
        <v>0.94107377529144298</v>
      </c>
      <c r="I39">
        <v>14.8006264323559</v>
      </c>
      <c r="J39">
        <v>13.1861906869071</v>
      </c>
      <c r="K39">
        <v>51.931600000000003</v>
      </c>
      <c r="L39" s="5">
        <f t="shared" si="0"/>
        <v>5.9287504211426025</v>
      </c>
      <c r="N39">
        <v>1</v>
      </c>
      <c r="O39">
        <v>0.84523809523809501</v>
      </c>
      <c r="P39">
        <v>0.71428571428571397</v>
      </c>
      <c r="Q39">
        <v>1</v>
      </c>
      <c r="R39">
        <f t="shared" si="1"/>
        <v>1</v>
      </c>
      <c r="T39">
        <v>0</v>
      </c>
      <c r="U39">
        <v>0.83333333333333304</v>
      </c>
      <c r="V39">
        <v>0.85714285714285698</v>
      </c>
      <c r="W39">
        <v>1</v>
      </c>
      <c r="X39">
        <f t="shared" si="3"/>
        <v>0</v>
      </c>
      <c r="Z39" t="s">
        <v>30</v>
      </c>
      <c r="AA39" t="s">
        <v>75</v>
      </c>
      <c r="AB39" t="s">
        <v>30</v>
      </c>
    </row>
    <row r="40" spans="1:28">
      <c r="A40">
        <v>2025</v>
      </c>
      <c r="B40" t="s">
        <v>31</v>
      </c>
      <c r="C40" t="s">
        <v>32</v>
      </c>
      <c r="D40" s="2">
        <v>45763</v>
      </c>
      <c r="E40" t="s">
        <v>28</v>
      </c>
      <c r="F40" t="s">
        <v>54</v>
      </c>
      <c r="G40">
        <v>48.883796691894503</v>
      </c>
      <c r="H40">
        <v>0.89637249708175704</v>
      </c>
      <c r="I40">
        <v>17.1183747862305</v>
      </c>
      <c r="J40">
        <v>14.4349995214289</v>
      </c>
      <c r="K40">
        <v>25.599299999999999</v>
      </c>
      <c r="L40" s="5">
        <f t="shared" si="0"/>
        <v>23.284496691894503</v>
      </c>
      <c r="N40">
        <v>1</v>
      </c>
      <c r="O40">
        <v>0.80952380952380998</v>
      </c>
      <c r="P40">
        <v>0.72727272727272696</v>
      </c>
      <c r="Q40">
        <v>0</v>
      </c>
      <c r="R40">
        <f t="shared" si="1"/>
        <v>0</v>
      </c>
      <c r="T40">
        <v>2</v>
      </c>
      <c r="U40">
        <v>0.82142857142857095</v>
      </c>
      <c r="V40">
        <v>0.68181818181818199</v>
      </c>
      <c r="W40">
        <v>0</v>
      </c>
      <c r="X40">
        <f t="shared" si="3"/>
        <v>0</v>
      </c>
      <c r="Z40" t="s">
        <v>30</v>
      </c>
      <c r="AA40" t="s">
        <v>75</v>
      </c>
      <c r="AB40" t="s">
        <v>30</v>
      </c>
    </row>
    <row r="41" spans="1:28">
      <c r="A41">
        <v>2025</v>
      </c>
      <c r="B41" t="s">
        <v>36</v>
      </c>
      <c r="C41" t="s">
        <v>37</v>
      </c>
      <c r="D41" s="2">
        <v>45777</v>
      </c>
      <c r="E41" t="s">
        <v>28</v>
      </c>
      <c r="F41" t="s">
        <v>76</v>
      </c>
      <c r="G41">
        <v>62.482734680175803</v>
      </c>
      <c r="H41">
        <v>0.92474848031997703</v>
      </c>
      <c r="I41">
        <v>13.5439293934293</v>
      </c>
      <c r="J41">
        <v>11.695454524647101</v>
      </c>
      <c r="K41">
        <v>18.851099999999999</v>
      </c>
      <c r="L41" s="5">
        <f t="shared" si="0"/>
        <v>43.631634680175807</v>
      </c>
      <c r="N41">
        <v>1</v>
      </c>
      <c r="O41">
        <v>0.84883720930232598</v>
      </c>
      <c r="P41">
        <v>0.77272727272727304</v>
      </c>
      <c r="Q41">
        <v>0</v>
      </c>
      <c r="R41">
        <f t="shared" si="1"/>
        <v>0</v>
      </c>
      <c r="T41">
        <v>2</v>
      </c>
      <c r="U41">
        <v>0.82558139534883701</v>
      </c>
      <c r="V41">
        <v>0.63636363636363602</v>
      </c>
      <c r="W41">
        <v>1</v>
      </c>
      <c r="X41">
        <f t="shared" si="3"/>
        <v>0</v>
      </c>
      <c r="Z41" t="s">
        <v>30</v>
      </c>
      <c r="AA41" t="s">
        <v>75</v>
      </c>
      <c r="AB41" t="s">
        <v>30</v>
      </c>
    </row>
    <row r="42" spans="1:28">
      <c r="A42">
        <v>2025</v>
      </c>
      <c r="B42" t="s">
        <v>31</v>
      </c>
      <c r="C42" t="s">
        <v>32</v>
      </c>
      <c r="D42" s="2">
        <v>45788</v>
      </c>
      <c r="E42" t="s">
        <v>28</v>
      </c>
      <c r="F42" t="s">
        <v>46</v>
      </c>
      <c r="G42">
        <v>49.748435974121101</v>
      </c>
      <c r="H42">
        <v>0.95998650789260898</v>
      </c>
      <c r="I42">
        <v>13.216038239336701</v>
      </c>
      <c r="J42">
        <v>10.9400000459498</v>
      </c>
      <c r="K42">
        <v>16.620100000000001</v>
      </c>
      <c r="L42" s="5">
        <f t="shared" si="0"/>
        <v>33.1283359741211</v>
      </c>
      <c r="N42">
        <v>1</v>
      </c>
      <c r="O42">
        <v>0.86206896551724099</v>
      </c>
      <c r="P42">
        <v>0.86363636363636398</v>
      </c>
      <c r="Q42">
        <v>0</v>
      </c>
      <c r="R42">
        <f t="shared" si="1"/>
        <v>0</v>
      </c>
      <c r="T42">
        <v>2</v>
      </c>
      <c r="U42">
        <v>0.72413793103448298</v>
      </c>
      <c r="V42">
        <v>0.72727272727272696</v>
      </c>
      <c r="W42">
        <v>1</v>
      </c>
      <c r="X42">
        <f t="shared" si="3"/>
        <v>0</v>
      </c>
      <c r="Z42" t="s">
        <v>30</v>
      </c>
      <c r="AA42" t="s">
        <v>75</v>
      </c>
      <c r="AB42" t="s">
        <v>30</v>
      </c>
    </row>
    <row r="43" spans="1:28">
      <c r="A43">
        <v>2025</v>
      </c>
      <c r="B43" t="s">
        <v>26</v>
      </c>
      <c r="C43" t="s">
        <v>27</v>
      </c>
      <c r="D43" s="2">
        <v>45791</v>
      </c>
      <c r="E43" t="s">
        <v>28</v>
      </c>
      <c r="F43" t="s">
        <v>77</v>
      </c>
      <c r="G43">
        <v>48.321876525878899</v>
      </c>
      <c r="H43">
        <v>0.88024699687957797</v>
      </c>
      <c r="I43">
        <v>15.230963907264201</v>
      </c>
      <c r="J43">
        <v>13.067727498141201</v>
      </c>
      <c r="K43">
        <v>56.706699999999998</v>
      </c>
      <c r="L43" s="5">
        <f t="shared" si="0"/>
        <v>8.3848234741210987</v>
      </c>
      <c r="N43">
        <v>1</v>
      </c>
      <c r="O43">
        <v>0.84090909090909105</v>
      </c>
      <c r="P43">
        <v>0.81818181818181801</v>
      </c>
      <c r="Q43">
        <v>1</v>
      </c>
      <c r="R43">
        <f t="shared" si="1"/>
        <v>1</v>
      </c>
      <c r="T43">
        <v>2</v>
      </c>
      <c r="U43">
        <v>0.81818181818181801</v>
      </c>
      <c r="V43">
        <v>0.77272727272727304</v>
      </c>
      <c r="W43">
        <v>1</v>
      </c>
      <c r="X43">
        <f t="shared" si="3"/>
        <v>0</v>
      </c>
      <c r="Z43" t="s">
        <v>30</v>
      </c>
      <c r="AA43" t="s">
        <v>75</v>
      </c>
      <c r="AB43" t="s">
        <v>30</v>
      </c>
    </row>
    <row r="44" spans="1:28">
      <c r="A44">
        <v>2025</v>
      </c>
      <c r="B44" t="s">
        <v>26</v>
      </c>
      <c r="C44" t="s">
        <v>27</v>
      </c>
      <c r="D44" s="2">
        <v>45804</v>
      </c>
      <c r="E44" t="s">
        <v>28</v>
      </c>
      <c r="F44" t="s">
        <v>78</v>
      </c>
      <c r="G44">
        <v>47.966037750244098</v>
      </c>
      <c r="H44">
        <v>0.85811179876327504</v>
      </c>
      <c r="I44">
        <v>17.362038697193601</v>
      </c>
      <c r="J44">
        <v>14.4465219315239</v>
      </c>
      <c r="K44">
        <v>77.437100000000001</v>
      </c>
      <c r="L44" s="5">
        <f t="shared" si="0"/>
        <v>29.471062249755903</v>
      </c>
      <c r="N44">
        <v>1</v>
      </c>
      <c r="O44">
        <v>0.84090909090909105</v>
      </c>
      <c r="P44">
        <v>0.78260869565217395</v>
      </c>
      <c r="Q44">
        <v>1</v>
      </c>
      <c r="R44">
        <f t="shared" si="1"/>
        <v>1</v>
      </c>
      <c r="T44">
        <v>2</v>
      </c>
      <c r="U44">
        <v>0.78409090909090895</v>
      </c>
      <c r="V44">
        <v>0.91304347826086996</v>
      </c>
      <c r="W44">
        <v>1</v>
      </c>
      <c r="X44">
        <f t="shared" si="3"/>
        <v>0</v>
      </c>
      <c r="Z44" t="s">
        <v>30</v>
      </c>
      <c r="AA44" t="s">
        <v>30</v>
      </c>
      <c r="AB44" t="s">
        <v>30</v>
      </c>
    </row>
    <row r="45" spans="1:28">
      <c r="A45">
        <v>2025</v>
      </c>
      <c r="B45" t="s">
        <v>31</v>
      </c>
      <c r="C45" t="s">
        <v>32</v>
      </c>
      <c r="D45" s="2">
        <v>45812</v>
      </c>
      <c r="E45" t="s">
        <v>28</v>
      </c>
      <c r="F45" t="s">
        <v>79</v>
      </c>
      <c r="G45">
        <v>49.595294952392599</v>
      </c>
      <c r="H45">
        <v>0.79725855588912997</v>
      </c>
      <c r="I45">
        <v>17.540962705343301</v>
      </c>
      <c r="J45">
        <v>14.229130700152901</v>
      </c>
      <c r="K45">
        <v>48.582000000000001</v>
      </c>
      <c r="L45" s="5">
        <f t="shared" si="0"/>
        <v>1.0132949523925987</v>
      </c>
      <c r="N45">
        <v>1</v>
      </c>
      <c r="O45">
        <v>0.84269662921348298</v>
      </c>
      <c r="P45">
        <v>0.73913043478260898</v>
      </c>
      <c r="Q45">
        <v>1</v>
      </c>
      <c r="R45">
        <f t="shared" si="1"/>
        <v>1</v>
      </c>
      <c r="T45">
        <v>2</v>
      </c>
      <c r="U45">
        <v>0.82022471910112404</v>
      </c>
      <c r="V45">
        <v>0.434782608695652</v>
      </c>
      <c r="W45">
        <v>1</v>
      </c>
      <c r="X45">
        <f t="shared" si="3"/>
        <v>0</v>
      </c>
      <c r="Z45" t="s">
        <v>30</v>
      </c>
      <c r="AA45" t="s">
        <v>75</v>
      </c>
      <c r="AB45" t="s">
        <v>30</v>
      </c>
    </row>
    <row r="46" spans="1:28">
      <c r="A46">
        <v>2025</v>
      </c>
      <c r="B46" t="s">
        <v>31</v>
      </c>
      <c r="C46" t="s">
        <v>32</v>
      </c>
      <c r="D46" s="2">
        <v>45854</v>
      </c>
      <c r="E46" t="s">
        <v>28</v>
      </c>
      <c r="F46" t="s">
        <v>38</v>
      </c>
      <c r="G46">
        <v>49.8451538085938</v>
      </c>
      <c r="H46">
        <v>0.89625525474548295</v>
      </c>
      <c r="I46">
        <v>13.5308375341173</v>
      </c>
      <c r="J46">
        <v>12.0152177611641</v>
      </c>
      <c r="K46">
        <v>42.04683</v>
      </c>
      <c r="L46" s="5">
        <f t="shared" si="0"/>
        <v>7.7983238085937998</v>
      </c>
      <c r="N46">
        <v>1</v>
      </c>
      <c r="O46">
        <v>0.81111111111111101</v>
      </c>
      <c r="P46">
        <v>0.78260869565217395</v>
      </c>
      <c r="Q46">
        <v>0</v>
      </c>
      <c r="R46">
        <f t="shared" si="1"/>
        <v>0</v>
      </c>
      <c r="T46">
        <v>2</v>
      </c>
      <c r="U46">
        <v>0.82222222222222197</v>
      </c>
      <c r="V46">
        <v>0.78260869565217395</v>
      </c>
      <c r="W46">
        <v>0</v>
      </c>
      <c r="X46">
        <f t="shared" si="3"/>
        <v>0</v>
      </c>
      <c r="Z46" t="s">
        <v>30</v>
      </c>
      <c r="AA46" t="s">
        <v>75</v>
      </c>
      <c r="AB46" t="s">
        <v>30</v>
      </c>
    </row>
    <row r="47" spans="1:28">
      <c r="A47">
        <v>2025</v>
      </c>
      <c r="B47" t="s">
        <v>36</v>
      </c>
      <c r="C47" t="s">
        <v>48</v>
      </c>
      <c r="D47" s="2">
        <v>45867</v>
      </c>
      <c r="E47" t="s">
        <v>28</v>
      </c>
      <c r="F47" t="s">
        <v>43</v>
      </c>
      <c r="G47">
        <v>58.411861419677699</v>
      </c>
      <c r="H47">
        <v>0.84274709224700906</v>
      </c>
      <c r="I47">
        <v>15.6976183167901</v>
      </c>
      <c r="J47">
        <v>13.142173375668699</v>
      </c>
      <c r="K47">
        <v>56.798279999999998</v>
      </c>
      <c r="L47" s="5">
        <f t="shared" si="0"/>
        <v>1.6135814196777005</v>
      </c>
      <c r="N47">
        <v>1</v>
      </c>
      <c r="O47">
        <v>0.82608695652173902</v>
      </c>
      <c r="P47">
        <v>0.78260869565217395</v>
      </c>
      <c r="Q47">
        <v>0</v>
      </c>
      <c r="R47">
        <f t="shared" si="1"/>
        <v>0</v>
      </c>
      <c r="T47">
        <v>2</v>
      </c>
      <c r="U47">
        <v>0.815217391304348</v>
      </c>
      <c r="V47">
        <v>0.73913043478260898</v>
      </c>
      <c r="W47">
        <v>1</v>
      </c>
      <c r="X47">
        <f t="shared" si="3"/>
        <v>0</v>
      </c>
      <c r="Z47" t="s">
        <v>30</v>
      </c>
      <c r="AA47" t="s">
        <v>75</v>
      </c>
      <c r="AB47" t="s">
        <v>30</v>
      </c>
    </row>
    <row r="48" spans="1:28">
      <c r="A48">
        <v>2025</v>
      </c>
      <c r="B48" t="s">
        <v>31</v>
      </c>
      <c r="C48" t="s">
        <v>32</v>
      </c>
      <c r="D48" s="2">
        <v>45872</v>
      </c>
      <c r="E48" t="s">
        <v>28</v>
      </c>
      <c r="F48" t="s">
        <v>47</v>
      </c>
      <c r="G48">
        <v>43.743568420410199</v>
      </c>
      <c r="H48">
        <v>0.92093592882156405</v>
      </c>
      <c r="I48">
        <v>15.372851483937399</v>
      </c>
      <c r="J48">
        <v>12.1158328469594</v>
      </c>
      <c r="K48">
        <v>74.846059999999994</v>
      </c>
      <c r="L48" s="5">
        <f t="shared" si="0"/>
        <v>31.102491579589795</v>
      </c>
      <c r="N48">
        <v>0</v>
      </c>
      <c r="O48">
        <v>0.89130434782608703</v>
      </c>
      <c r="P48">
        <v>0.79166666666666696</v>
      </c>
      <c r="Q48">
        <v>1</v>
      </c>
      <c r="R48">
        <f t="shared" si="1"/>
        <v>0</v>
      </c>
      <c r="T48">
        <v>0</v>
      </c>
      <c r="U48">
        <v>0.815217391304348</v>
      </c>
      <c r="V48">
        <v>0.875</v>
      </c>
      <c r="W48">
        <v>2</v>
      </c>
      <c r="X48">
        <f t="shared" si="3"/>
        <v>0</v>
      </c>
      <c r="Z48" t="s">
        <v>30</v>
      </c>
      <c r="AA48" t="s">
        <v>30</v>
      </c>
      <c r="AB48" t="s">
        <v>30</v>
      </c>
    </row>
    <row r="49" spans="1:28">
      <c r="A49">
        <v>2025</v>
      </c>
      <c r="B49" t="s">
        <v>26</v>
      </c>
      <c r="C49" t="s">
        <v>48</v>
      </c>
      <c r="D49" s="2">
        <v>45883</v>
      </c>
      <c r="E49" t="s">
        <v>28</v>
      </c>
      <c r="F49" t="s">
        <v>40</v>
      </c>
      <c r="G49">
        <v>61.761619567871101</v>
      </c>
      <c r="H49">
        <v>0.862421154975891</v>
      </c>
      <c r="I49">
        <v>12.992184212934101</v>
      </c>
      <c r="J49">
        <v>11.0112499968211</v>
      </c>
      <c r="K49">
        <v>79.118279999999999</v>
      </c>
      <c r="L49" s="5">
        <f t="shared" si="0"/>
        <v>17.356660432128898</v>
      </c>
      <c r="N49">
        <v>1</v>
      </c>
      <c r="O49">
        <v>0.82795698924731198</v>
      </c>
      <c r="P49">
        <v>0.75</v>
      </c>
      <c r="Q49">
        <v>1</v>
      </c>
      <c r="R49">
        <f t="shared" si="1"/>
        <v>1</v>
      </c>
      <c r="T49">
        <v>0</v>
      </c>
      <c r="U49">
        <v>0.83870967741935498</v>
      </c>
      <c r="V49">
        <v>0.54166666666666696</v>
      </c>
      <c r="W49">
        <v>1</v>
      </c>
      <c r="X49">
        <f t="shared" si="3"/>
        <v>0</v>
      </c>
      <c r="Z49" t="s">
        <v>30</v>
      </c>
      <c r="AA49" t="s">
        <v>75</v>
      </c>
      <c r="AB49" t="s">
        <v>30</v>
      </c>
    </row>
    <row r="50" spans="1:28">
      <c r="A50">
        <v>2025</v>
      </c>
      <c r="B50" t="s">
        <v>31</v>
      </c>
      <c r="C50" t="s">
        <v>32</v>
      </c>
      <c r="D50" s="2">
        <v>45886</v>
      </c>
      <c r="E50" t="s">
        <v>28</v>
      </c>
      <c r="F50" t="s">
        <v>45</v>
      </c>
      <c r="G50">
        <v>49.859054565429702</v>
      </c>
      <c r="H50">
        <v>0.885420382022858</v>
      </c>
      <c r="I50">
        <v>17.064016174369101</v>
      </c>
      <c r="J50">
        <v>14.0641664886475</v>
      </c>
      <c r="K50">
        <v>38.744109999999999</v>
      </c>
      <c r="L50" s="5">
        <f t="shared" si="0"/>
        <v>11.114944565429703</v>
      </c>
      <c r="N50">
        <v>1</v>
      </c>
      <c r="O50">
        <v>0.85106382978723405</v>
      </c>
      <c r="P50">
        <v>0.75</v>
      </c>
      <c r="Q50">
        <v>0</v>
      </c>
      <c r="R50">
        <f t="shared" si="1"/>
        <v>0</v>
      </c>
      <c r="T50">
        <v>0</v>
      </c>
      <c r="U50">
        <v>0.77659574468085102</v>
      </c>
      <c r="V50">
        <v>0.54166666666666696</v>
      </c>
      <c r="W50">
        <v>2</v>
      </c>
      <c r="X50">
        <f t="shared" si="3"/>
        <v>0</v>
      </c>
      <c r="Z50" t="s">
        <v>30</v>
      </c>
      <c r="AA50" t="s">
        <v>75</v>
      </c>
      <c r="AB50" t="s">
        <v>30</v>
      </c>
    </row>
    <row r="51" spans="1:28">
      <c r="A51">
        <v>2025</v>
      </c>
      <c r="B51" t="s">
        <v>31</v>
      </c>
      <c r="C51" t="s">
        <v>32</v>
      </c>
      <c r="D51" s="2">
        <v>45899</v>
      </c>
      <c r="E51" t="s">
        <v>28</v>
      </c>
      <c r="F51" t="s">
        <v>43</v>
      </c>
      <c r="G51">
        <v>46.100261688232401</v>
      </c>
      <c r="H51">
        <v>0.89052122831344604</v>
      </c>
      <c r="I51">
        <v>14.27228851692</v>
      </c>
      <c r="J51">
        <v>12.008750063578301</v>
      </c>
      <c r="K51">
        <v>28.051819999999999</v>
      </c>
      <c r="L51" s="5">
        <f t="shared" si="0"/>
        <v>18.048441688232401</v>
      </c>
      <c r="N51">
        <v>1</v>
      </c>
      <c r="O51">
        <v>0.82105263157894703</v>
      </c>
      <c r="P51">
        <v>0.79166666666666696</v>
      </c>
      <c r="Q51">
        <v>0</v>
      </c>
      <c r="R51">
        <f t="shared" si="1"/>
        <v>0</v>
      </c>
      <c r="T51">
        <v>2</v>
      </c>
      <c r="U51">
        <v>0.8</v>
      </c>
      <c r="V51">
        <v>0.58333333333333304</v>
      </c>
      <c r="W51">
        <v>1</v>
      </c>
      <c r="X51">
        <f t="shared" si="3"/>
        <v>0</v>
      </c>
      <c r="Z51" t="s">
        <v>30</v>
      </c>
      <c r="AA51" t="s">
        <v>75</v>
      </c>
      <c r="AB51" t="s">
        <v>30</v>
      </c>
    </row>
    <row r="52" spans="1:28">
      <c r="A52">
        <v>2025</v>
      </c>
      <c r="B52" t="s">
        <v>36</v>
      </c>
      <c r="C52" t="s">
        <v>53</v>
      </c>
      <c r="D52" s="2">
        <v>45911</v>
      </c>
      <c r="E52" t="s">
        <v>28</v>
      </c>
      <c r="F52" t="s">
        <v>59</v>
      </c>
      <c r="G52">
        <v>55.257766723632798</v>
      </c>
      <c r="H52">
        <v>0.85020077228546098</v>
      </c>
      <c r="I52">
        <v>15.4810714883094</v>
      </c>
      <c r="J52">
        <v>12.804167273839299</v>
      </c>
      <c r="K52">
        <v>86.61439</v>
      </c>
      <c r="L52" s="5">
        <f t="shared" si="0"/>
        <v>31.356623276367202</v>
      </c>
      <c r="N52">
        <v>1</v>
      </c>
      <c r="O52">
        <v>0.86458333333333304</v>
      </c>
      <c r="P52">
        <v>0.54166666666666696</v>
      </c>
      <c r="Q52">
        <v>1</v>
      </c>
      <c r="R52">
        <f t="shared" si="1"/>
        <v>1</v>
      </c>
      <c r="T52">
        <v>2</v>
      </c>
      <c r="U52">
        <v>0.77083333333333304</v>
      </c>
      <c r="V52">
        <v>0.70833333333333304</v>
      </c>
      <c r="W52">
        <v>0</v>
      </c>
      <c r="X52">
        <f t="shared" si="3"/>
        <v>0</v>
      </c>
      <c r="Z52" t="s">
        <v>30</v>
      </c>
      <c r="AA52" t="s">
        <v>75</v>
      </c>
      <c r="AB52" t="s">
        <v>30</v>
      </c>
    </row>
    <row r="53" spans="1:28">
      <c r="A53">
        <v>2025</v>
      </c>
      <c r="B53" t="s">
        <v>31</v>
      </c>
      <c r="C53" t="s">
        <v>32</v>
      </c>
      <c r="D53" s="2">
        <v>45917</v>
      </c>
      <c r="E53" t="s">
        <v>28</v>
      </c>
      <c r="F53" t="s">
        <v>80</v>
      </c>
      <c r="G53">
        <v>44.5340766906738</v>
      </c>
      <c r="H53">
        <v>0.81840461492538497</v>
      </c>
      <c r="I53">
        <v>16.509076916236801</v>
      </c>
      <c r="J53">
        <v>14.128799801635701</v>
      </c>
      <c r="K53">
        <v>14.32742</v>
      </c>
      <c r="L53" s="5">
        <f t="shared" si="0"/>
        <v>30.2066566906738</v>
      </c>
      <c r="N53">
        <v>1</v>
      </c>
      <c r="O53">
        <v>0.82291666666666696</v>
      </c>
      <c r="P53">
        <v>0.68</v>
      </c>
      <c r="Q53">
        <v>0</v>
      </c>
      <c r="R53">
        <f t="shared" si="1"/>
        <v>0</v>
      </c>
      <c r="T53">
        <v>0</v>
      </c>
      <c r="U53">
        <v>0.83333333333333304</v>
      </c>
      <c r="V53">
        <v>0.64</v>
      </c>
      <c r="W53">
        <v>0</v>
      </c>
      <c r="X53">
        <f t="shared" si="3"/>
        <v>1</v>
      </c>
      <c r="Z53" t="s">
        <v>30</v>
      </c>
      <c r="AA53" t="s">
        <v>75</v>
      </c>
      <c r="AB53" t="s">
        <v>30</v>
      </c>
    </row>
    <row r="54" spans="1:28">
      <c r="A54">
        <v>2025</v>
      </c>
      <c r="B54" t="s">
        <v>31</v>
      </c>
      <c r="C54" t="s">
        <v>32</v>
      </c>
      <c r="D54" s="2">
        <v>45931</v>
      </c>
      <c r="E54" t="s">
        <v>28</v>
      </c>
      <c r="F54" t="s">
        <v>44</v>
      </c>
      <c r="G54">
        <v>44.250255584716797</v>
      </c>
      <c r="H54">
        <v>0.81075930595398005</v>
      </c>
      <c r="I54">
        <v>16.311378615698501</v>
      </c>
      <c r="J54">
        <v>13.802400183105499</v>
      </c>
      <c r="K54">
        <v>25.177389999999999</v>
      </c>
      <c r="L54" s="5">
        <f t="shared" si="0"/>
        <v>19.072865584716798</v>
      </c>
      <c r="N54">
        <v>1</v>
      </c>
      <c r="O54">
        <v>0.84536082474226804</v>
      </c>
      <c r="P54">
        <v>0.6</v>
      </c>
      <c r="Q54">
        <v>0</v>
      </c>
      <c r="R54">
        <f t="shared" si="1"/>
        <v>0</v>
      </c>
      <c r="T54">
        <v>2</v>
      </c>
      <c r="U54">
        <v>0.81443298969072198</v>
      </c>
      <c r="V54">
        <v>0.64</v>
      </c>
      <c r="W54">
        <v>1</v>
      </c>
      <c r="X54">
        <f t="shared" si="3"/>
        <v>0</v>
      </c>
      <c r="Z54" t="s">
        <v>30</v>
      </c>
      <c r="AA54" t="s">
        <v>75</v>
      </c>
      <c r="AB54" t="s">
        <v>30</v>
      </c>
    </row>
    <row r="55" spans="1:28">
      <c r="A55">
        <v>2025</v>
      </c>
      <c r="B55" t="s">
        <v>31</v>
      </c>
      <c r="C55" t="s">
        <v>32</v>
      </c>
      <c r="D55" s="2">
        <v>45920</v>
      </c>
      <c r="E55" t="s">
        <v>28</v>
      </c>
      <c r="F55" t="s">
        <v>81</v>
      </c>
      <c r="G55">
        <v>44.250255584716797</v>
      </c>
      <c r="H55">
        <v>0.81075930595398005</v>
      </c>
      <c r="I55">
        <v>16.311378615698501</v>
      </c>
      <c r="J55">
        <v>13.802400183105499</v>
      </c>
      <c r="K55">
        <v>25.177389999999999</v>
      </c>
      <c r="L55" s="5">
        <f t="shared" si="0"/>
        <v>19.072865584716798</v>
      </c>
      <c r="N55">
        <v>1</v>
      </c>
      <c r="O55">
        <v>1</v>
      </c>
      <c r="P55">
        <v>1</v>
      </c>
      <c r="Q55">
        <v>1</v>
      </c>
      <c r="R55">
        <f t="shared" si="1"/>
        <v>1</v>
      </c>
      <c r="T55">
        <v>1</v>
      </c>
      <c r="U55">
        <v>1</v>
      </c>
      <c r="V55">
        <v>1</v>
      </c>
      <c r="W55">
        <v>1</v>
      </c>
      <c r="X55">
        <f t="shared" si="3"/>
        <v>1</v>
      </c>
      <c r="Z55" t="s">
        <v>30</v>
      </c>
      <c r="AA55" t="s">
        <v>75</v>
      </c>
      <c r="AB55" t="s">
        <v>30</v>
      </c>
    </row>
    <row r="56" spans="1:28">
      <c r="A56">
        <v>2025</v>
      </c>
      <c r="B56" t="s">
        <v>31</v>
      </c>
      <c r="C56" t="s">
        <v>32</v>
      </c>
      <c r="D56" s="2">
        <v>45945</v>
      </c>
      <c r="E56" t="s">
        <v>28</v>
      </c>
      <c r="F56" t="s">
        <v>50</v>
      </c>
      <c r="G56">
        <v>48.421180725097699</v>
      </c>
      <c r="H56">
        <v>0.64535480737686202</v>
      </c>
      <c r="I56">
        <v>19.793069857152499</v>
      </c>
      <c r="J56">
        <v>17.2608001556397</v>
      </c>
      <c r="K56">
        <v>48.230379999999997</v>
      </c>
      <c r="L56" s="5">
        <f t="shared" si="0"/>
        <v>0.19080072509770218</v>
      </c>
      <c r="N56">
        <v>1</v>
      </c>
      <c r="O56">
        <v>0.78787878787878796</v>
      </c>
      <c r="P56">
        <v>0.56000000000000005</v>
      </c>
      <c r="Q56">
        <v>0</v>
      </c>
      <c r="R56">
        <f t="shared" si="1"/>
        <v>0</v>
      </c>
      <c r="T56">
        <v>0</v>
      </c>
      <c r="U56">
        <v>0.81818181818181801</v>
      </c>
      <c r="V56">
        <v>0.6</v>
      </c>
      <c r="W56">
        <v>2</v>
      </c>
      <c r="X56">
        <f t="shared" si="3"/>
        <v>0</v>
      </c>
      <c r="Z56" t="s">
        <v>30</v>
      </c>
      <c r="AA56" t="s">
        <v>75</v>
      </c>
      <c r="AB56" t="s">
        <v>30</v>
      </c>
    </row>
    <row r="57" spans="1:28">
      <c r="A57">
        <v>2025</v>
      </c>
      <c r="B57" t="s">
        <v>31</v>
      </c>
      <c r="C57" t="s">
        <v>32</v>
      </c>
      <c r="D57" s="2">
        <v>45956</v>
      </c>
      <c r="E57" t="s">
        <v>28</v>
      </c>
      <c r="F57" t="s">
        <v>82</v>
      </c>
      <c r="G57">
        <v>47.243217468261697</v>
      </c>
      <c r="H57">
        <v>0.80271643400192305</v>
      </c>
      <c r="I57">
        <v>16.452482942606199</v>
      </c>
      <c r="J57">
        <v>14.451199710082999</v>
      </c>
      <c r="K57">
        <v>43.751460000000002</v>
      </c>
      <c r="L57" s="5">
        <f t="shared" si="0"/>
        <v>3.4917574682616959</v>
      </c>
      <c r="N57">
        <v>1</v>
      </c>
      <c r="O57">
        <v>0.87</v>
      </c>
      <c r="P57">
        <v>0.64</v>
      </c>
      <c r="Q57">
        <v>0</v>
      </c>
      <c r="R57">
        <f t="shared" si="1"/>
        <v>0</v>
      </c>
      <c r="T57">
        <v>2</v>
      </c>
      <c r="U57">
        <v>0.8</v>
      </c>
      <c r="V57">
        <v>0.48</v>
      </c>
      <c r="W57">
        <v>0</v>
      </c>
      <c r="X57">
        <f t="shared" si="3"/>
        <v>0</v>
      </c>
      <c r="Z57" t="s">
        <v>30</v>
      </c>
      <c r="AA57" t="s">
        <v>75</v>
      </c>
      <c r="AB57" t="s">
        <v>30</v>
      </c>
    </row>
    <row r="58" spans="1:28">
      <c r="A58">
        <v>2025</v>
      </c>
      <c r="B58" t="s">
        <v>31</v>
      </c>
      <c r="C58" t="s">
        <v>32</v>
      </c>
      <c r="D58" s="2">
        <v>45966</v>
      </c>
      <c r="E58" t="s">
        <v>28</v>
      </c>
      <c r="F58" t="s">
        <v>59</v>
      </c>
      <c r="G58">
        <v>49.239078521728501</v>
      </c>
      <c r="H58">
        <v>0.84623342752456698</v>
      </c>
      <c r="I58">
        <v>15.344895669425901</v>
      </c>
      <c r="J58">
        <v>13.220384938166699</v>
      </c>
      <c r="K58">
        <v>28.384219999999999</v>
      </c>
      <c r="L58" s="5">
        <f t="shared" si="0"/>
        <v>20.854858521728502</v>
      </c>
      <c r="N58">
        <v>1</v>
      </c>
      <c r="O58">
        <v>0.87</v>
      </c>
      <c r="P58">
        <v>0.69230769230769196</v>
      </c>
      <c r="Q58">
        <v>0</v>
      </c>
      <c r="R58">
        <f t="shared" si="1"/>
        <v>0</v>
      </c>
      <c r="T58">
        <v>2</v>
      </c>
      <c r="U58">
        <v>0.77</v>
      </c>
      <c r="V58">
        <v>0.57692307692307698</v>
      </c>
      <c r="W58">
        <v>1</v>
      </c>
      <c r="X58">
        <f t="shared" si="3"/>
        <v>0</v>
      </c>
      <c r="Z58" t="s">
        <v>30</v>
      </c>
      <c r="AA58" t="s">
        <v>30</v>
      </c>
      <c r="AB58" t="s">
        <v>30</v>
      </c>
    </row>
    <row r="59" spans="1:28">
      <c r="A59">
        <v>2025</v>
      </c>
      <c r="B59" t="s">
        <v>31</v>
      </c>
      <c r="C59" t="s">
        <v>32</v>
      </c>
      <c r="D59" s="2">
        <v>45979</v>
      </c>
      <c r="E59" t="s">
        <v>28</v>
      </c>
      <c r="F59" t="s">
        <v>83</v>
      </c>
      <c r="G59">
        <v>42.097789764404297</v>
      </c>
      <c r="H59">
        <v>0.88749969005584695</v>
      </c>
      <c r="I59">
        <v>15.3960345467829</v>
      </c>
      <c r="J59">
        <v>13.4180770419194</v>
      </c>
      <c r="K59">
        <v>25.825150000000001</v>
      </c>
      <c r="L59" s="5">
        <f t="shared" si="0"/>
        <v>16.272639764404296</v>
      </c>
      <c r="N59">
        <v>0</v>
      </c>
      <c r="O59">
        <v>0.91089108910891103</v>
      </c>
      <c r="P59">
        <v>0.61538461538461497</v>
      </c>
      <c r="Q59">
        <v>0</v>
      </c>
      <c r="R59">
        <f t="shared" si="1"/>
        <v>1</v>
      </c>
      <c r="T59">
        <v>0</v>
      </c>
      <c r="U59">
        <v>0.79207920792079201</v>
      </c>
      <c r="V59">
        <v>0.65384615384615397</v>
      </c>
      <c r="W59">
        <v>1</v>
      </c>
      <c r="X59">
        <f t="shared" si="3"/>
        <v>0</v>
      </c>
      <c r="Z59" t="s">
        <v>30</v>
      </c>
      <c r="AA59" t="s">
        <v>30</v>
      </c>
      <c r="AB59" t="s">
        <v>30</v>
      </c>
    </row>
    <row r="60" spans="1:28">
      <c r="A60">
        <v>2025</v>
      </c>
      <c r="B60" t="s">
        <v>31</v>
      </c>
      <c r="C60" t="s">
        <v>32</v>
      </c>
      <c r="D60" s="2">
        <v>45983</v>
      </c>
      <c r="E60" t="s">
        <v>28</v>
      </c>
      <c r="F60" t="s">
        <v>55</v>
      </c>
      <c r="G60">
        <v>45.888870239257798</v>
      </c>
      <c r="H60">
        <v>0.83409088850021396</v>
      </c>
      <c r="I60">
        <v>14.000456652080199</v>
      </c>
      <c r="J60">
        <v>11.8711538270804</v>
      </c>
      <c r="K60">
        <v>35.701300000000003</v>
      </c>
      <c r="L60" s="5">
        <f t="shared" si="0"/>
        <v>10.187570239257795</v>
      </c>
      <c r="N60">
        <v>1</v>
      </c>
      <c r="O60">
        <v>0.81372549019607798</v>
      </c>
      <c r="P60">
        <v>0.57692307692307698</v>
      </c>
      <c r="Q60">
        <v>0</v>
      </c>
      <c r="R60">
        <f t="shared" si="1"/>
        <v>0</v>
      </c>
      <c r="T60">
        <v>2</v>
      </c>
      <c r="U60">
        <v>0.73529411764705899</v>
      </c>
      <c r="V60">
        <v>0.69230769230769196</v>
      </c>
      <c r="W60">
        <v>1</v>
      </c>
      <c r="X60">
        <f t="shared" si="3"/>
        <v>0</v>
      </c>
      <c r="Z60" t="s">
        <v>30</v>
      </c>
      <c r="AA60" t="s">
        <v>30</v>
      </c>
      <c r="AB60" t="s">
        <v>30</v>
      </c>
    </row>
    <row r="61" spans="1:28">
      <c r="A61">
        <v>2025</v>
      </c>
      <c r="B61" t="s">
        <v>31</v>
      </c>
      <c r="C61" t="s">
        <v>32</v>
      </c>
      <c r="D61" s="2">
        <v>45998</v>
      </c>
      <c r="E61" t="s">
        <v>28</v>
      </c>
      <c r="F61" t="s">
        <v>51</v>
      </c>
      <c r="G61">
        <v>46.561534881591797</v>
      </c>
      <c r="H61">
        <v>0.87839508056640625</v>
      </c>
      <c r="I61">
        <v>15.405222948455579</v>
      </c>
      <c r="J61">
        <v>12.97192274240347</v>
      </c>
      <c r="K61">
        <v>55.468670000000003</v>
      </c>
      <c r="L61" s="5">
        <f t="shared" si="0"/>
        <v>8.9071351184082062</v>
      </c>
      <c r="M61">
        <f>GEOMEAN(L29:L61)</f>
        <v>14.226465806241055</v>
      </c>
      <c r="N61">
        <v>1</v>
      </c>
      <c r="O61">
        <v>0.88349514563106801</v>
      </c>
      <c r="P61">
        <v>0.65384615384615385</v>
      </c>
      <c r="Q61">
        <v>1</v>
      </c>
      <c r="R61">
        <f t="shared" si="1"/>
        <v>1</v>
      </c>
      <c r="S61" s="7">
        <f>12/33</f>
        <v>0.36363636363636365</v>
      </c>
      <c r="T61">
        <v>1</v>
      </c>
      <c r="U61">
        <v>0.77669902912621358</v>
      </c>
      <c r="V61">
        <v>0.53846153846153844</v>
      </c>
      <c r="W61">
        <v>1</v>
      </c>
      <c r="X61">
        <f t="shared" si="3"/>
        <v>1</v>
      </c>
      <c r="Y61" s="7">
        <f>4/33</f>
        <v>0.12121212121212122</v>
      </c>
      <c r="Z61" t="s">
        <v>30</v>
      </c>
      <c r="AA61" t="s">
        <v>75</v>
      </c>
      <c r="AB61" t="s">
        <v>30</v>
      </c>
    </row>
    <row r="62" spans="1:28">
      <c r="M62">
        <f>GEOMEAN(L34,L36,L38:L62)</f>
        <v>11.400900435953629</v>
      </c>
      <c r="S62" s="7">
        <f>11/26</f>
        <v>0.42307692307692307</v>
      </c>
      <c r="Y62" s="7">
        <f>3/26</f>
        <v>0.11538461538461539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Fabio Bittencourt</cp:lastModifiedBy>
  <cp:revision/>
  <dcterms:created xsi:type="dcterms:W3CDTF">2025-12-07T19:44:05Z</dcterms:created>
  <dcterms:modified xsi:type="dcterms:W3CDTF">2025-12-24T14:51:44Z</dcterms:modified>
  <cp:category/>
  <cp:contentStatus/>
</cp:coreProperties>
</file>